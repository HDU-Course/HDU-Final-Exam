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codeName="ThisWorkbook"/>
  <mc:AlternateContent xmlns:mc="http://schemas.openxmlformats.org/markup-compatibility/2006">
    <mc:Choice Requires="x15">
      <x15ac:absPath xmlns:x15ac="http://schemas.microsoft.com/office/spreadsheetml/2010/11/ac" url="C:\Users\lin\Desktop\"/>
    </mc:Choice>
  </mc:AlternateContent>
  <xr:revisionPtr revIDLastSave="0" documentId="13_ncr:1_{9AE70208-23A4-45C4-B69F-EED13ACB54E5}" xr6:coauthVersionLast="45" xr6:coauthVersionMax="45" xr10:uidLastSave="{00000000-0000-0000-0000-000000000000}"/>
  <bookViews>
    <workbookView xWindow="-110" yWindow="-110" windowWidth="21820" windowHeight="14620" xr2:uid="{00000000-000D-0000-FFFF-FFFF00000000}"/>
  </bookViews>
  <sheets>
    <sheet name="Sheet1" sheetId="1" r:id="rId1"/>
  </sheets>
  <definedNames>
    <definedName name="_xlnm._FilterDatabase" localSheetId="0" hidden="1">Sheet1!$B$2:$V$123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442" i="1" l="1"/>
  <c r="P442" i="1" s="1"/>
  <c r="W442" i="1"/>
  <c r="Q444" i="1"/>
  <c r="P444" i="1" s="1"/>
  <c r="W444" i="1"/>
  <c r="Q446" i="1"/>
  <c r="P446" i="1" s="1"/>
  <c r="W446" i="1"/>
  <c r="Q448" i="1"/>
  <c r="P448" i="1" s="1"/>
  <c r="W448" i="1"/>
  <c r="Q450" i="1"/>
  <c r="P450" i="1" s="1"/>
  <c r="W450" i="1"/>
  <c r="Q452" i="1"/>
  <c r="P452" i="1" s="1"/>
  <c r="W452" i="1"/>
  <c r="Q454" i="1"/>
  <c r="P454" i="1" s="1"/>
  <c r="W454" i="1"/>
  <c r="Q456" i="1"/>
  <c r="P456" i="1" s="1"/>
  <c r="W456" i="1"/>
  <c r="Q458" i="1"/>
  <c r="P458" i="1" s="1"/>
  <c r="W458" i="1"/>
  <c r="Q460" i="1"/>
  <c r="P460" i="1" s="1"/>
  <c r="W460" i="1"/>
  <c r="Q462" i="1"/>
  <c r="P462" i="1" s="1"/>
  <c r="W462" i="1"/>
  <c r="Q464" i="1"/>
  <c r="P464" i="1" s="1"/>
  <c r="W464" i="1"/>
  <c r="Q466" i="1"/>
  <c r="P466" i="1" s="1"/>
  <c r="W466" i="1"/>
  <c r="Q468" i="1"/>
  <c r="P468" i="1" s="1"/>
  <c r="W468" i="1"/>
  <c r="Q470" i="1"/>
  <c r="P470" i="1" s="1"/>
  <c r="W470" i="1"/>
  <c r="Q472" i="1"/>
  <c r="P472" i="1" s="1"/>
  <c r="W472" i="1"/>
  <c r="Q474" i="1"/>
  <c r="P474" i="1" s="1"/>
  <c r="W474" i="1"/>
  <c r="Q476" i="1"/>
  <c r="P476" i="1" s="1"/>
  <c r="W476" i="1"/>
  <c r="Q478" i="1"/>
  <c r="P478" i="1" s="1"/>
  <c r="W478" i="1"/>
  <c r="Q480" i="1"/>
  <c r="P480" i="1" s="1"/>
  <c r="W480" i="1"/>
  <c r="Q482" i="1"/>
  <c r="P482" i="1" s="1"/>
  <c r="W482" i="1"/>
  <c r="Q484" i="1"/>
  <c r="P484" i="1" s="1"/>
  <c r="W484" i="1"/>
  <c r="Q486" i="1"/>
  <c r="P486" i="1" s="1"/>
  <c r="W486" i="1"/>
  <c r="Q488" i="1"/>
  <c r="P488" i="1" s="1"/>
  <c r="W488" i="1"/>
  <c r="Q492" i="1"/>
  <c r="P492" i="1" s="1"/>
  <c r="W492" i="1"/>
  <c r="Q516" i="1"/>
  <c r="P516" i="1" s="1"/>
  <c r="W516" i="1"/>
  <c r="Q518" i="1"/>
  <c r="P518" i="1" s="1"/>
  <c r="W518" i="1"/>
  <c r="Q520" i="1"/>
  <c r="P520" i="1" s="1"/>
  <c r="W520" i="1"/>
  <c r="Q522" i="1"/>
  <c r="P522" i="1" s="1"/>
  <c r="W522" i="1"/>
  <c r="Q524" i="1"/>
  <c r="P524" i="1" s="1"/>
  <c r="W524" i="1"/>
  <c r="Q526" i="1"/>
  <c r="P526" i="1" s="1"/>
  <c r="W526" i="1"/>
  <c r="Q528" i="1"/>
  <c r="P528" i="1" s="1"/>
  <c r="W528" i="1"/>
  <c r="Q530" i="1"/>
  <c r="P530" i="1" s="1"/>
  <c r="W530" i="1"/>
  <c r="Q532" i="1"/>
  <c r="P532" i="1" s="1"/>
  <c r="W532" i="1"/>
  <c r="Q538" i="1"/>
  <c r="P538" i="1" s="1"/>
  <c r="W538" i="1"/>
  <c r="Q540" i="1"/>
  <c r="P540" i="1" s="1"/>
  <c r="W540" i="1"/>
  <c r="Q542" i="1"/>
  <c r="P542" i="1" s="1"/>
  <c r="W542" i="1"/>
  <c r="Q544" i="1"/>
  <c r="P544" i="1" s="1"/>
  <c r="W544" i="1"/>
  <c r="Q558" i="1"/>
  <c r="P558" i="1" s="1"/>
  <c r="W558" i="1"/>
  <c r="Q560" i="1"/>
  <c r="P560" i="1" s="1"/>
  <c r="W560" i="1"/>
  <c r="Q562" i="1"/>
  <c r="P562" i="1" s="1"/>
  <c r="W562" i="1"/>
  <c r="Q564" i="1"/>
  <c r="P564" i="1" s="1"/>
  <c r="W564" i="1"/>
  <c r="Q566" i="1"/>
  <c r="P566" i="1" s="1"/>
  <c r="W566" i="1"/>
  <c r="Q568" i="1"/>
  <c r="P568" i="1" s="1"/>
  <c r="W568" i="1"/>
  <c r="Q570" i="1"/>
  <c r="P570" i="1" s="1"/>
  <c r="W570" i="1"/>
  <c r="Q572" i="1"/>
  <c r="P572" i="1" s="1"/>
  <c r="W572" i="1"/>
  <c r="Q574" i="1"/>
  <c r="P574" i="1" s="1"/>
  <c r="W574" i="1"/>
  <c r="Q576" i="1"/>
  <c r="P576" i="1" s="1"/>
  <c r="W576" i="1"/>
  <c r="Q578" i="1"/>
  <c r="P578" i="1" s="1"/>
  <c r="W578" i="1"/>
  <c r="Q580" i="1"/>
  <c r="P580" i="1" s="1"/>
  <c r="W580" i="1"/>
  <c r="Q582" i="1"/>
  <c r="P582" i="1" s="1"/>
  <c r="W582" i="1"/>
  <c r="Q584" i="1"/>
  <c r="P584" i="1" s="1"/>
  <c r="W584" i="1"/>
  <c r="Q586" i="1"/>
  <c r="P586" i="1" s="1"/>
  <c r="W586" i="1"/>
  <c r="Q588" i="1"/>
  <c r="P588" i="1" s="1"/>
  <c r="W588" i="1"/>
  <c r="Q590" i="1"/>
  <c r="P590" i="1" s="1"/>
  <c r="W590" i="1"/>
  <c r="Q592" i="1"/>
  <c r="P592" i="1" s="1"/>
  <c r="W592" i="1"/>
  <c r="Q594" i="1"/>
  <c r="P594" i="1" s="1"/>
  <c r="W594" i="1"/>
  <c r="Q596" i="1"/>
  <c r="P596" i="1" s="1"/>
  <c r="W596" i="1"/>
  <c r="Q598" i="1"/>
  <c r="P598" i="1" s="1"/>
  <c r="W598" i="1"/>
  <c r="Q602" i="1"/>
  <c r="P602" i="1" s="1"/>
  <c r="W602" i="1"/>
  <c r="Q604" i="1"/>
  <c r="P604" i="1" s="1"/>
  <c r="W604" i="1"/>
  <c r="Q606" i="1"/>
  <c r="P606" i="1" s="1"/>
  <c r="W606" i="1"/>
  <c r="Q608" i="1"/>
  <c r="P608" i="1" s="1"/>
  <c r="W608" i="1"/>
  <c r="Q610" i="1"/>
  <c r="P610" i="1" s="1"/>
  <c r="W610" i="1"/>
  <c r="Q612" i="1"/>
  <c r="P612" i="1" s="1"/>
  <c r="W612" i="1"/>
  <c r="Q614" i="1"/>
  <c r="P614" i="1" s="1"/>
  <c r="W614" i="1"/>
  <c r="Q616" i="1"/>
  <c r="P616" i="1" s="1"/>
  <c r="W616" i="1"/>
  <c r="Q618" i="1"/>
  <c r="P618" i="1" s="1"/>
  <c r="W618" i="1"/>
  <c r="Q620" i="1"/>
  <c r="P620" i="1" s="1"/>
  <c r="W620" i="1"/>
  <c r="Q622" i="1"/>
  <c r="P622" i="1" s="1"/>
  <c r="W622" i="1"/>
  <c r="Q624" i="1"/>
  <c r="P624" i="1" s="1"/>
  <c r="W624" i="1"/>
  <c r="Q626" i="1"/>
  <c r="P626" i="1" s="1"/>
  <c r="W626" i="1"/>
  <c r="Q628" i="1"/>
  <c r="P628" i="1" s="1"/>
  <c r="W628" i="1"/>
  <c r="Q630" i="1"/>
  <c r="P630" i="1" s="1"/>
  <c r="W630" i="1"/>
  <c r="Q632" i="1"/>
  <c r="P632" i="1" s="1"/>
  <c r="W632" i="1"/>
  <c r="Q634" i="1"/>
  <c r="P634" i="1" s="1"/>
  <c r="W634" i="1"/>
  <c r="Q636" i="1"/>
  <c r="P636" i="1" s="1"/>
  <c r="W636" i="1"/>
  <c r="Q638" i="1"/>
  <c r="P638" i="1" s="1"/>
  <c r="W638" i="1"/>
  <c r="Q640" i="1"/>
  <c r="P640" i="1" s="1"/>
  <c r="W640" i="1"/>
  <c r="Q642" i="1"/>
  <c r="P642" i="1" s="1"/>
  <c r="W642" i="1"/>
  <c r="Q644" i="1"/>
  <c r="P644" i="1" s="1"/>
  <c r="W644" i="1"/>
  <c r="Q646" i="1"/>
  <c r="P646" i="1" s="1"/>
  <c r="W646" i="1"/>
  <c r="Q648" i="1"/>
  <c r="P648" i="1" s="1"/>
  <c r="W648" i="1"/>
  <c r="Q650" i="1"/>
  <c r="P650" i="1" s="1"/>
  <c r="W650" i="1"/>
  <c r="Q652" i="1"/>
  <c r="P652" i="1" s="1"/>
  <c r="W652" i="1"/>
  <c r="Q654" i="1"/>
  <c r="P654" i="1" s="1"/>
  <c r="W654" i="1"/>
  <c r="Q656" i="1"/>
  <c r="P656" i="1" s="1"/>
  <c r="W656" i="1"/>
  <c r="Q658" i="1"/>
  <c r="P658" i="1" s="1"/>
  <c r="W658" i="1"/>
  <c r="Q282" i="1"/>
  <c r="P282" i="1" s="1"/>
  <c r="W282" i="1"/>
  <c r="Q284" i="1"/>
  <c r="P284" i="1" s="1"/>
  <c r="W284" i="1"/>
  <c r="Q286" i="1"/>
  <c r="P286" i="1" s="1"/>
  <c r="W286" i="1"/>
  <c r="Q288" i="1"/>
  <c r="P288" i="1" s="1"/>
  <c r="W288" i="1"/>
  <c r="Q290" i="1"/>
  <c r="P290" i="1" s="1"/>
  <c r="W290" i="1"/>
  <c r="Q292" i="1"/>
  <c r="P292" i="1" s="1"/>
  <c r="W292" i="1"/>
  <c r="Q294" i="1"/>
  <c r="P294" i="1" s="1"/>
  <c r="W294" i="1"/>
  <c r="Q296" i="1"/>
  <c r="P296" i="1" s="1"/>
  <c r="W296" i="1"/>
  <c r="Q298" i="1"/>
  <c r="P298" i="1" s="1"/>
  <c r="W298" i="1"/>
  <c r="Q300" i="1"/>
  <c r="P300" i="1" s="1"/>
  <c r="W300" i="1"/>
  <c r="Q302" i="1"/>
  <c r="P302" i="1" s="1"/>
  <c r="W302" i="1"/>
  <c r="Q304" i="1"/>
  <c r="P304" i="1" s="1"/>
  <c r="W304" i="1"/>
  <c r="Q306" i="1"/>
  <c r="P306" i="1" s="1"/>
  <c r="W306" i="1"/>
  <c r="Q308" i="1"/>
  <c r="P308" i="1" s="1"/>
  <c r="W308" i="1"/>
  <c r="Q310" i="1"/>
  <c r="P310" i="1" s="1"/>
  <c r="W310" i="1"/>
  <c r="Q312" i="1"/>
  <c r="P312" i="1" s="1"/>
  <c r="W312" i="1"/>
  <c r="Q314" i="1"/>
  <c r="P314" i="1" s="1"/>
  <c r="W314" i="1"/>
  <c r="Q316" i="1"/>
  <c r="P316" i="1" s="1"/>
  <c r="W316" i="1"/>
  <c r="Q318" i="1"/>
  <c r="P318" i="1" s="1"/>
  <c r="W318" i="1"/>
  <c r="Q320" i="1"/>
  <c r="P320" i="1" s="1"/>
  <c r="W320" i="1"/>
  <c r="Q322" i="1"/>
  <c r="P322" i="1" s="1"/>
  <c r="W322" i="1"/>
  <c r="Q324" i="1"/>
  <c r="P324" i="1" s="1"/>
  <c r="W324" i="1"/>
  <c r="Q326" i="1"/>
  <c r="P326" i="1" s="1"/>
  <c r="W326" i="1"/>
  <c r="Q328" i="1"/>
  <c r="P328" i="1" s="1"/>
  <c r="W328" i="1"/>
  <c r="Q330" i="1"/>
  <c r="P330" i="1" s="1"/>
  <c r="W330" i="1"/>
  <c r="Q332" i="1"/>
  <c r="P332" i="1" s="1"/>
  <c r="W332" i="1"/>
  <c r="Q334" i="1"/>
  <c r="P334" i="1" s="1"/>
  <c r="W334" i="1"/>
  <c r="Q336" i="1"/>
  <c r="P336" i="1" s="1"/>
  <c r="W336" i="1"/>
  <c r="Q338" i="1"/>
  <c r="P338" i="1" s="1"/>
  <c r="W338" i="1"/>
  <c r="Q340" i="1"/>
  <c r="P340" i="1" s="1"/>
  <c r="W340" i="1"/>
  <c r="Q342" i="1"/>
  <c r="P342" i="1" s="1"/>
  <c r="W342" i="1"/>
  <c r="Q344" i="1"/>
  <c r="P344" i="1" s="1"/>
  <c r="W344" i="1"/>
  <c r="Q346" i="1"/>
  <c r="P346" i="1" s="1"/>
  <c r="W346" i="1"/>
  <c r="Q348" i="1"/>
  <c r="P348" i="1" s="1"/>
  <c r="W348" i="1"/>
  <c r="Q350" i="1"/>
  <c r="P350" i="1" s="1"/>
  <c r="W350" i="1"/>
  <c r="Q352" i="1"/>
  <c r="P352" i="1" s="1"/>
  <c r="W352" i="1"/>
  <c r="Q354" i="1"/>
  <c r="P354" i="1" s="1"/>
  <c r="W354" i="1"/>
  <c r="Q356" i="1"/>
  <c r="P356" i="1" s="1"/>
  <c r="W356" i="1"/>
  <c r="Q358" i="1"/>
  <c r="P358" i="1" s="1"/>
  <c r="W358" i="1"/>
  <c r="Q360" i="1"/>
  <c r="P360" i="1" s="1"/>
  <c r="W360" i="1"/>
  <c r="Q362" i="1"/>
  <c r="P362" i="1" s="1"/>
  <c r="W362" i="1"/>
  <c r="Q364" i="1"/>
  <c r="P364" i="1" s="1"/>
  <c r="W364" i="1"/>
  <c r="Q366" i="1"/>
  <c r="P366" i="1" s="1"/>
  <c r="W366" i="1"/>
  <c r="Q368" i="1"/>
  <c r="P368" i="1" s="1"/>
  <c r="W368" i="1"/>
  <c r="Q370" i="1"/>
  <c r="P370" i="1" s="1"/>
  <c r="W370" i="1"/>
  <c r="Q372" i="1"/>
  <c r="P372" i="1" s="1"/>
  <c r="W372" i="1"/>
  <c r="Q374" i="1"/>
  <c r="P374" i="1" s="1"/>
  <c r="W374" i="1"/>
  <c r="Q376" i="1"/>
  <c r="P376" i="1" s="1"/>
  <c r="W376" i="1"/>
  <c r="Q378" i="1"/>
  <c r="P378" i="1" s="1"/>
  <c r="W378" i="1"/>
  <c r="Q380" i="1"/>
  <c r="P380" i="1" s="1"/>
  <c r="W380" i="1"/>
  <c r="Q384" i="1"/>
  <c r="P384" i="1" s="1"/>
  <c r="W384" i="1"/>
  <c r="Q386" i="1"/>
  <c r="P386" i="1" s="1"/>
  <c r="W386" i="1"/>
  <c r="Q388" i="1"/>
  <c r="P388" i="1" s="1"/>
  <c r="W388" i="1"/>
  <c r="Q390" i="1"/>
  <c r="P390" i="1" s="1"/>
  <c r="W390" i="1"/>
  <c r="Q392" i="1"/>
  <c r="P392" i="1" s="1"/>
  <c r="W392" i="1"/>
  <c r="Q394" i="1"/>
  <c r="P394" i="1" s="1"/>
  <c r="W394" i="1"/>
  <c r="Q396" i="1"/>
  <c r="P396" i="1" s="1"/>
  <c r="W396" i="1"/>
  <c r="Q398" i="1"/>
  <c r="P398" i="1" s="1"/>
  <c r="W398" i="1"/>
  <c r="Q400" i="1"/>
  <c r="P400" i="1" s="1"/>
  <c r="W400" i="1"/>
  <c r="Q402" i="1"/>
  <c r="P402" i="1" s="1"/>
  <c r="W402" i="1"/>
  <c r="Q404" i="1"/>
  <c r="P404" i="1" s="1"/>
  <c r="W404" i="1"/>
  <c r="Q406" i="1"/>
  <c r="P406" i="1" s="1"/>
  <c r="W406" i="1"/>
  <c r="Q408" i="1"/>
  <c r="P408" i="1" s="1"/>
  <c r="W408" i="1"/>
  <c r="Q410" i="1"/>
  <c r="P410" i="1" s="1"/>
  <c r="W410" i="1"/>
  <c r="Q412" i="1"/>
  <c r="P412" i="1" s="1"/>
  <c r="W412" i="1"/>
  <c r="Q414" i="1"/>
  <c r="P414" i="1" s="1"/>
  <c r="W414" i="1"/>
  <c r="Q416" i="1"/>
  <c r="P416" i="1" s="1"/>
  <c r="W416" i="1"/>
  <c r="Q418" i="1"/>
  <c r="P418" i="1" s="1"/>
  <c r="W418" i="1"/>
  <c r="Q420" i="1"/>
  <c r="P420" i="1" s="1"/>
  <c r="W420" i="1"/>
  <c r="Q422" i="1"/>
  <c r="P422" i="1" s="1"/>
  <c r="W422" i="1"/>
  <c r="Q424" i="1"/>
  <c r="P424" i="1" s="1"/>
  <c r="W424" i="1"/>
  <c r="Q426" i="1"/>
  <c r="P426" i="1" s="1"/>
  <c r="W426" i="1"/>
  <c r="Q428" i="1"/>
  <c r="P428" i="1" s="1"/>
  <c r="W428" i="1"/>
  <c r="Q430" i="1"/>
  <c r="P430" i="1" s="1"/>
  <c r="W430" i="1"/>
  <c r="Q432" i="1"/>
  <c r="P432" i="1" s="1"/>
  <c r="W432" i="1"/>
  <c r="Q434" i="1"/>
  <c r="P434" i="1" s="1"/>
  <c r="W434" i="1"/>
  <c r="Q436" i="1"/>
  <c r="P436" i="1" s="1"/>
  <c r="W436" i="1"/>
  <c r="Q438" i="1"/>
  <c r="P438" i="1" s="1"/>
  <c r="W438" i="1"/>
  <c r="Q440" i="1"/>
  <c r="P440" i="1" s="1"/>
  <c r="W440" i="1"/>
  <c r="Q202" i="1"/>
  <c r="P202" i="1" s="1"/>
  <c r="W202" i="1"/>
  <c r="Q204" i="1"/>
  <c r="P204" i="1" s="1"/>
  <c r="W204" i="1"/>
  <c r="Q206" i="1"/>
  <c r="P206" i="1" s="1"/>
  <c r="W206" i="1"/>
  <c r="Q208" i="1"/>
  <c r="P208" i="1" s="1"/>
  <c r="W208" i="1"/>
  <c r="Q210" i="1"/>
  <c r="P210" i="1" s="1"/>
  <c r="W210" i="1"/>
  <c r="Q212" i="1"/>
  <c r="P212" i="1" s="1"/>
  <c r="W212" i="1"/>
  <c r="Q214" i="1"/>
  <c r="P214" i="1" s="1"/>
  <c r="W214" i="1"/>
  <c r="Q216" i="1"/>
  <c r="P216" i="1" s="1"/>
  <c r="W216" i="1"/>
  <c r="Q218" i="1"/>
  <c r="P218" i="1" s="1"/>
  <c r="W218" i="1"/>
  <c r="Q220" i="1"/>
  <c r="P220" i="1" s="1"/>
  <c r="W220" i="1"/>
  <c r="Q222" i="1"/>
  <c r="P222" i="1" s="1"/>
  <c r="W222" i="1"/>
  <c r="Q224" i="1"/>
  <c r="P224" i="1" s="1"/>
  <c r="W224" i="1"/>
  <c r="Q226" i="1"/>
  <c r="P226" i="1" s="1"/>
  <c r="W226" i="1"/>
  <c r="Q228" i="1"/>
  <c r="P228" i="1" s="1"/>
  <c r="W228" i="1"/>
  <c r="Q230" i="1"/>
  <c r="P230" i="1" s="1"/>
  <c r="W230" i="1"/>
  <c r="Q232" i="1"/>
  <c r="P232" i="1" s="1"/>
  <c r="W232" i="1"/>
  <c r="Q234" i="1"/>
  <c r="P234" i="1" s="1"/>
  <c r="W234" i="1"/>
  <c r="Q236" i="1"/>
  <c r="P236" i="1" s="1"/>
  <c r="W236" i="1"/>
  <c r="Q238" i="1"/>
  <c r="P238" i="1" s="1"/>
  <c r="W238" i="1"/>
  <c r="Q240" i="1"/>
  <c r="P240" i="1" s="1"/>
  <c r="W240" i="1"/>
  <c r="Q242" i="1"/>
  <c r="P242" i="1" s="1"/>
  <c r="W242" i="1"/>
  <c r="Q244" i="1"/>
  <c r="P244" i="1" s="1"/>
  <c r="W244" i="1"/>
  <c r="Q246" i="1"/>
  <c r="P246" i="1" s="1"/>
  <c r="W246" i="1"/>
  <c r="Q248" i="1"/>
  <c r="P248" i="1" s="1"/>
  <c r="W248" i="1"/>
  <c r="Q250" i="1"/>
  <c r="P250" i="1" s="1"/>
  <c r="W250" i="1"/>
  <c r="Q252" i="1"/>
  <c r="P252" i="1" s="1"/>
  <c r="W252" i="1"/>
  <c r="Q254" i="1"/>
  <c r="P254" i="1" s="1"/>
  <c r="W254" i="1"/>
  <c r="Q256" i="1"/>
  <c r="P256" i="1" s="1"/>
  <c r="W256" i="1"/>
  <c r="Q258" i="1"/>
  <c r="P258" i="1" s="1"/>
  <c r="W258" i="1"/>
  <c r="Q260" i="1"/>
  <c r="P260" i="1" s="1"/>
  <c r="W260" i="1"/>
  <c r="Q262" i="1"/>
  <c r="P262" i="1" s="1"/>
  <c r="W262" i="1"/>
  <c r="Q264" i="1"/>
  <c r="P264" i="1" s="1"/>
  <c r="W264" i="1"/>
  <c r="Q266" i="1"/>
  <c r="P266" i="1" s="1"/>
  <c r="W266" i="1"/>
  <c r="Q268" i="1"/>
  <c r="P268" i="1" s="1"/>
  <c r="W268" i="1"/>
  <c r="Q270" i="1"/>
  <c r="P270" i="1" s="1"/>
  <c r="W270" i="1"/>
  <c r="Q272" i="1"/>
  <c r="P272" i="1" s="1"/>
  <c r="W272" i="1"/>
  <c r="Q274" i="1"/>
  <c r="P274" i="1" s="1"/>
  <c r="W274" i="1"/>
  <c r="Q276" i="1"/>
  <c r="P276" i="1" s="1"/>
  <c r="W276" i="1"/>
  <c r="Q278" i="1"/>
  <c r="P278" i="1" s="1"/>
  <c r="W278" i="1"/>
  <c r="Q280" i="1"/>
  <c r="P280" i="1" s="1"/>
  <c r="W280" i="1"/>
  <c r="Q124" i="1"/>
  <c r="P124" i="1" s="1"/>
  <c r="W124" i="1"/>
  <c r="Q126" i="1"/>
  <c r="P126" i="1" s="1"/>
  <c r="W126" i="1"/>
  <c r="Q128" i="1"/>
  <c r="P128" i="1" s="1"/>
  <c r="W128" i="1"/>
  <c r="Q132" i="1"/>
  <c r="P132" i="1" s="1"/>
  <c r="W132" i="1"/>
  <c r="Q134" i="1"/>
  <c r="P134" i="1" s="1"/>
  <c r="W134" i="1"/>
  <c r="Q136" i="1"/>
  <c r="P136" i="1" s="1"/>
  <c r="W136" i="1"/>
  <c r="Q138" i="1"/>
  <c r="P138" i="1" s="1"/>
  <c r="W138" i="1"/>
  <c r="Q140" i="1"/>
  <c r="P140" i="1" s="1"/>
  <c r="W140" i="1"/>
  <c r="Q142" i="1"/>
  <c r="P142" i="1" s="1"/>
  <c r="W142" i="1"/>
  <c r="Q144" i="1"/>
  <c r="P144" i="1" s="1"/>
  <c r="W144" i="1"/>
  <c r="Q146" i="1"/>
  <c r="P146" i="1" s="1"/>
  <c r="W146" i="1"/>
  <c r="Q148" i="1"/>
  <c r="P148" i="1" s="1"/>
  <c r="W148" i="1"/>
  <c r="Q152" i="1"/>
  <c r="P152" i="1" s="1"/>
  <c r="W152" i="1"/>
  <c r="Q154" i="1"/>
  <c r="P154" i="1" s="1"/>
  <c r="W154" i="1"/>
  <c r="Q156" i="1"/>
  <c r="P156" i="1" s="1"/>
  <c r="W156" i="1"/>
  <c r="Q158" i="1"/>
  <c r="P158" i="1" s="1"/>
  <c r="W158" i="1"/>
  <c r="Q160" i="1"/>
  <c r="P160" i="1" s="1"/>
  <c r="W160" i="1"/>
  <c r="Q162" i="1"/>
  <c r="P162" i="1" s="1"/>
  <c r="W162" i="1"/>
  <c r="Q164" i="1"/>
  <c r="P164" i="1" s="1"/>
  <c r="W164" i="1"/>
  <c r="Q166" i="1"/>
  <c r="P166" i="1" s="1"/>
  <c r="W166" i="1"/>
  <c r="Q168" i="1"/>
  <c r="P168" i="1" s="1"/>
  <c r="W168" i="1"/>
  <c r="Q170" i="1"/>
  <c r="P170" i="1" s="1"/>
  <c r="W170" i="1"/>
  <c r="Q172" i="1"/>
  <c r="P172" i="1" s="1"/>
  <c r="W172" i="1"/>
  <c r="Q174" i="1"/>
  <c r="P174" i="1" s="1"/>
  <c r="W174" i="1"/>
  <c r="Q176" i="1"/>
  <c r="P176" i="1" s="1"/>
  <c r="W176" i="1"/>
  <c r="Q178" i="1"/>
  <c r="P178" i="1" s="1"/>
  <c r="W178" i="1"/>
  <c r="Q180" i="1"/>
  <c r="P180" i="1" s="1"/>
  <c r="W180" i="1"/>
  <c r="Q182" i="1"/>
  <c r="P182" i="1" s="1"/>
  <c r="W182" i="1"/>
  <c r="Q184" i="1"/>
  <c r="P184" i="1" s="1"/>
  <c r="W184" i="1"/>
  <c r="Q186" i="1"/>
  <c r="P186" i="1" s="1"/>
  <c r="W186" i="1"/>
  <c r="Q188" i="1"/>
  <c r="P188" i="1" s="1"/>
  <c r="W188" i="1"/>
  <c r="Q190" i="1"/>
  <c r="P190" i="1" s="1"/>
  <c r="W190" i="1"/>
  <c r="Q192" i="1"/>
  <c r="P192" i="1" s="1"/>
  <c r="W192" i="1"/>
  <c r="Q194" i="1"/>
  <c r="P194" i="1" s="1"/>
  <c r="W194" i="1"/>
  <c r="Q196" i="1"/>
  <c r="P196" i="1" s="1"/>
  <c r="W196" i="1"/>
  <c r="Q198" i="1"/>
  <c r="P198" i="1" s="1"/>
  <c r="W198" i="1"/>
  <c r="Q200" i="1"/>
  <c r="P200" i="1" s="1"/>
  <c r="W200" i="1"/>
  <c r="W6" i="1" l="1"/>
  <c r="W8" i="1"/>
  <c r="W10" i="1"/>
  <c r="W12" i="1"/>
  <c r="W14" i="1"/>
  <c r="W16" i="1"/>
  <c r="W18" i="1"/>
  <c r="W20" i="1"/>
  <c r="W22" i="1"/>
  <c r="W24" i="1"/>
  <c r="W26" i="1"/>
  <c r="W28" i="1"/>
  <c r="W30" i="1"/>
  <c r="W32" i="1"/>
  <c r="W34" i="1"/>
  <c r="W36" i="1"/>
  <c r="W38" i="1"/>
  <c r="W40" i="1"/>
  <c r="W42" i="1"/>
  <c r="W44" i="1"/>
  <c r="W46" i="1"/>
  <c r="W48" i="1"/>
  <c r="W50" i="1"/>
  <c r="W52" i="1"/>
  <c r="W54" i="1"/>
  <c r="W56" i="1"/>
  <c r="W58" i="1"/>
  <c r="W60" i="1"/>
  <c r="W62" i="1"/>
  <c r="W64" i="1"/>
  <c r="W66" i="1"/>
  <c r="W68" i="1"/>
  <c r="W70" i="1"/>
  <c r="W72" i="1"/>
  <c r="W74" i="1"/>
  <c r="W76" i="1"/>
  <c r="W78" i="1"/>
  <c r="W80" i="1"/>
  <c r="W82" i="1"/>
  <c r="W84" i="1"/>
  <c r="W86" i="1"/>
  <c r="W88" i="1"/>
  <c r="W90" i="1"/>
  <c r="W92" i="1"/>
  <c r="W94" i="1"/>
  <c r="W96" i="1"/>
  <c r="W98" i="1"/>
  <c r="W100" i="1"/>
  <c r="W102" i="1"/>
  <c r="W104" i="1"/>
  <c r="W106" i="1"/>
  <c r="W108" i="1"/>
  <c r="W110" i="1"/>
  <c r="W112" i="1"/>
  <c r="W114" i="1"/>
  <c r="W116" i="1"/>
  <c r="W118" i="1"/>
  <c r="W120" i="1"/>
  <c r="W122" i="1"/>
  <c r="W4" i="1"/>
  <c r="Q4" i="1"/>
  <c r="P4" i="1" s="1"/>
  <c r="Q122" i="1"/>
  <c r="P122" i="1" s="1"/>
  <c r="Q120" i="1"/>
  <c r="P120" i="1" s="1"/>
  <c r="Q118" i="1"/>
  <c r="P118" i="1" s="1"/>
  <c r="Q116" i="1"/>
  <c r="P116" i="1" s="1"/>
  <c r="Q114" i="1"/>
  <c r="P114" i="1" s="1"/>
  <c r="Q112" i="1"/>
  <c r="P112" i="1" s="1"/>
  <c r="Q110" i="1"/>
  <c r="P110" i="1" s="1"/>
  <c r="Q108" i="1"/>
  <c r="P108" i="1" s="1"/>
  <c r="Q106" i="1"/>
  <c r="P106" i="1" s="1"/>
  <c r="Q104" i="1"/>
  <c r="P104" i="1" s="1"/>
  <c r="Q102" i="1"/>
  <c r="P102" i="1" s="1"/>
  <c r="Q100" i="1"/>
  <c r="P100" i="1" s="1"/>
  <c r="Q98" i="1"/>
  <c r="P98" i="1" s="1"/>
  <c r="Q96" i="1"/>
  <c r="P96" i="1" s="1"/>
  <c r="Q94" i="1"/>
  <c r="P94" i="1" s="1"/>
  <c r="Q92" i="1"/>
  <c r="P92" i="1" s="1"/>
  <c r="Q90" i="1"/>
  <c r="P90" i="1" s="1"/>
  <c r="Q88" i="1"/>
  <c r="P88" i="1" s="1"/>
  <c r="Q86" i="1"/>
  <c r="P86" i="1" s="1"/>
  <c r="Q84" i="1"/>
  <c r="P84" i="1" s="1"/>
  <c r="Q82" i="1"/>
  <c r="P82" i="1" s="1"/>
  <c r="Q80" i="1"/>
  <c r="P80" i="1" s="1"/>
  <c r="Q78" i="1"/>
  <c r="P78" i="1" s="1"/>
  <c r="Q76" i="1"/>
  <c r="P76" i="1" s="1"/>
  <c r="Q74" i="1"/>
  <c r="P74" i="1" s="1"/>
  <c r="Q72" i="1"/>
  <c r="P72" i="1" s="1"/>
  <c r="Q70" i="1"/>
  <c r="P70" i="1" s="1"/>
  <c r="Q68" i="1"/>
  <c r="P68" i="1" s="1"/>
  <c r="Q66" i="1"/>
  <c r="P66" i="1" s="1"/>
  <c r="Q64" i="1"/>
  <c r="P64" i="1" s="1"/>
  <c r="Q62" i="1"/>
  <c r="P62" i="1" s="1"/>
  <c r="Q60" i="1"/>
  <c r="P60" i="1" s="1"/>
  <c r="Q58" i="1"/>
  <c r="P58" i="1" s="1"/>
  <c r="Q56" i="1"/>
  <c r="P56" i="1" s="1"/>
  <c r="Q54" i="1"/>
  <c r="P54" i="1" s="1"/>
  <c r="Q52" i="1"/>
  <c r="P52" i="1" s="1"/>
  <c r="Q50" i="1"/>
  <c r="P50" i="1" s="1"/>
  <c r="Q48" i="1"/>
  <c r="P48" i="1" s="1"/>
  <c r="Q46" i="1"/>
  <c r="P46" i="1" s="1"/>
  <c r="Q44" i="1"/>
  <c r="P44" i="1" s="1"/>
  <c r="Q42" i="1"/>
  <c r="P42" i="1" s="1"/>
  <c r="Q40" i="1"/>
  <c r="P40" i="1" s="1"/>
  <c r="Q38" i="1"/>
  <c r="P38" i="1" s="1"/>
  <c r="Q36" i="1"/>
  <c r="P36" i="1" s="1"/>
  <c r="Q34" i="1"/>
  <c r="P34" i="1" s="1"/>
  <c r="Q32" i="1"/>
  <c r="P32" i="1" s="1"/>
  <c r="Q30" i="1"/>
  <c r="P30" i="1" s="1"/>
  <c r="Q28" i="1"/>
  <c r="P28" i="1" s="1"/>
  <c r="Q26" i="1"/>
  <c r="P26" i="1" s="1"/>
  <c r="Q24" i="1"/>
  <c r="P24" i="1" s="1"/>
  <c r="Q22" i="1"/>
  <c r="P22" i="1" s="1"/>
  <c r="Q20" i="1"/>
  <c r="P20" i="1" s="1"/>
  <c r="Q18" i="1"/>
  <c r="P18" i="1" s="1"/>
  <c r="Q16" i="1"/>
  <c r="P16" i="1" s="1"/>
  <c r="Q14" i="1"/>
  <c r="P14" i="1" s="1"/>
  <c r="Q12" i="1"/>
  <c r="P12" i="1" s="1"/>
  <c r="Q10" i="1"/>
  <c r="P10" i="1" s="1"/>
  <c r="Q8" i="1"/>
  <c r="P8" i="1" s="1"/>
  <c r="Q6" i="1"/>
  <c r="P6" i="1" s="1"/>
  <c r="T4" i="1" l="1"/>
</calcChain>
</file>

<file path=xl/sharedStrings.xml><?xml version="1.0" encoding="utf-8"?>
<sst xmlns="http://schemas.openxmlformats.org/spreadsheetml/2006/main" count="1860" uniqueCount="1425">
  <si>
    <t>题号</t>
    <phoneticPr fontId="1" type="noConversion"/>
  </si>
  <si>
    <t>自动批改</t>
    <phoneticPr fontId="1" type="noConversion"/>
  </si>
  <si>
    <t>正确答案</t>
    <phoneticPr fontId="1" type="noConversion"/>
  </si>
  <si>
    <t>√</t>
    <phoneticPr fontId="1" type="noConversion"/>
  </si>
  <si>
    <t>×</t>
    <phoneticPr fontId="1" type="noConversion"/>
  </si>
  <si>
    <t>1.下列哪个是资产阶级革命派的主张（ ）</t>
    <phoneticPr fontId="1" type="noConversion"/>
  </si>
  <si>
    <t>A.公理未明，即以革命明之；旧俗俱在，即以革命去之</t>
    <phoneticPr fontId="1" type="noConversion"/>
  </si>
  <si>
    <t>B.师夷长技以制夷</t>
    <phoneticPr fontId="1" type="noConversion"/>
  </si>
  <si>
    <t>C.穷则变，变则通，通则久</t>
    <phoneticPr fontId="1" type="noConversion"/>
  </si>
  <si>
    <t>D.中学为体，西学为用</t>
    <phoneticPr fontId="1" type="noConversion"/>
  </si>
  <si>
    <t>2.清末“新政”未能挽救清朝灭亡命运的根本原因是（    ）</t>
    <phoneticPr fontId="1" type="noConversion"/>
  </si>
  <si>
    <t>A.“新政”只是骗局，从来没有真正实行</t>
    <phoneticPr fontId="1" type="noConversion"/>
  </si>
  <si>
    <t>B.清政府借“新政”之名增加税收，引起人民反抗</t>
    <phoneticPr fontId="1" type="noConversion"/>
  </si>
  <si>
    <t>C.列强反对中国实行“新政”，制造障碍</t>
    <phoneticPr fontId="1" type="noConversion"/>
  </si>
  <si>
    <t>D.“新政”不能解决当时的各种社会矛盾</t>
    <phoneticPr fontId="1" type="noConversion"/>
  </si>
  <si>
    <t>3.清政府的“预备立宪”之所以是一场骗局，主要是因为（    ）</t>
    <phoneticPr fontId="1" type="noConversion"/>
  </si>
  <si>
    <t>A.借“预备”之名拖延立案</t>
    <phoneticPr fontId="1" type="noConversion"/>
  </si>
  <si>
    <t>B.载沣任摄政王总揽大权</t>
    <phoneticPr fontId="1" type="noConversion"/>
  </si>
  <si>
    <t>C.不能满足立宪派的要求</t>
    <phoneticPr fontId="1" type="noConversion"/>
  </si>
  <si>
    <t>D.极力维护君主专制权力</t>
    <phoneticPr fontId="1" type="noConversion"/>
  </si>
  <si>
    <t>A.同盟会</t>
    <phoneticPr fontId="1" type="noConversion"/>
  </si>
  <si>
    <t>B.华兴会</t>
    <phoneticPr fontId="1" type="noConversion"/>
  </si>
  <si>
    <t>C.兴中会</t>
    <phoneticPr fontId="1" type="noConversion"/>
  </si>
  <si>
    <t>D.光复会</t>
    <phoneticPr fontId="1" type="noConversion"/>
  </si>
  <si>
    <t>5.1903年在《驳康有为论革命书》中歌颂革命为“启迪民智，除旧布新”良药的是（    ）</t>
    <phoneticPr fontId="1" type="noConversion"/>
  </si>
  <si>
    <t>A.邹容</t>
    <phoneticPr fontId="1" type="noConversion"/>
  </si>
  <si>
    <t>B.章炳麟</t>
    <phoneticPr fontId="1" type="noConversion"/>
  </si>
  <si>
    <t>C.陈天华</t>
    <phoneticPr fontId="1" type="noConversion"/>
  </si>
  <si>
    <t>D.严复</t>
    <phoneticPr fontId="1" type="noConversion"/>
  </si>
  <si>
    <t>6.将清政府称为“洋人的朝廷”，号召人民奋起革命的是（    ）</t>
    <phoneticPr fontId="1" type="noConversion"/>
  </si>
  <si>
    <t>A.章炳麟的《驳康有为论革命书》</t>
    <phoneticPr fontId="1" type="noConversion"/>
  </si>
  <si>
    <t>B.邹容的《革命军》</t>
    <phoneticPr fontId="1" type="noConversion"/>
  </si>
  <si>
    <t>7.标志着资产阶级革命派初步形成的事件是（    ）</t>
    <phoneticPr fontId="1" type="noConversion"/>
  </si>
  <si>
    <t>A.兴中会成立</t>
    <phoneticPr fontId="1" type="noConversion"/>
  </si>
  <si>
    <t>B.1895年广州起义</t>
    <phoneticPr fontId="1" type="noConversion"/>
  </si>
  <si>
    <t>C.三民主义的提出</t>
    <phoneticPr fontId="1" type="noConversion"/>
  </si>
  <si>
    <t>D.华兴会的成立</t>
    <phoneticPr fontId="1" type="noConversion"/>
  </si>
  <si>
    <t>8.近代中国第一个资产阶级革命政党是（    ）</t>
    <phoneticPr fontId="1" type="noConversion"/>
  </si>
  <si>
    <t>A.中国同盟会</t>
    <phoneticPr fontId="1" type="noConversion"/>
  </si>
  <si>
    <t>B.中华革命党</t>
    <phoneticPr fontId="1" type="noConversion"/>
  </si>
  <si>
    <t>9.1905年11月，孙中山在《民报》发刊词中将中国同盟会的政治纲领概括为（    ）</t>
    <phoneticPr fontId="1" type="noConversion"/>
  </si>
  <si>
    <t>A.创立民国、平均地权</t>
    <phoneticPr fontId="1" type="noConversion"/>
  </si>
  <si>
    <t>B.驱除鞑虏、恢复中华、创立合众政府</t>
    <phoneticPr fontId="1" type="noConversion"/>
  </si>
  <si>
    <t>C.民族主义、民权主义、民生主义</t>
    <phoneticPr fontId="1" type="noConversion"/>
  </si>
  <si>
    <t>D.联俄、联共、扶助农工</t>
    <phoneticPr fontId="1" type="noConversion"/>
  </si>
  <si>
    <t>10.提出“驱除鞑虏，恢复中华，建立民国，平均地权”的政治纲领的是（    ）</t>
    <phoneticPr fontId="1" type="noConversion"/>
  </si>
  <si>
    <t>A.兴中会</t>
    <phoneticPr fontId="1" type="noConversion"/>
  </si>
  <si>
    <t>C.光复会</t>
    <phoneticPr fontId="1" type="noConversion"/>
  </si>
  <si>
    <t>D.同盟会</t>
    <phoneticPr fontId="1" type="noConversion"/>
  </si>
  <si>
    <t>11.孙中山三民主义思想的核心是（    ）</t>
    <phoneticPr fontId="1" type="noConversion"/>
  </si>
  <si>
    <t>A.民族主义</t>
    <phoneticPr fontId="1" type="noConversion"/>
  </si>
  <si>
    <t>B.民生主义</t>
    <phoneticPr fontId="1" type="noConversion"/>
  </si>
  <si>
    <t>C.民权主义</t>
    <phoneticPr fontId="1" type="noConversion"/>
  </si>
  <si>
    <t>D.平均地权</t>
    <phoneticPr fontId="1" type="noConversion"/>
  </si>
  <si>
    <t>12.孙中山领导辛亥革命的指导思想是（    ）</t>
    <phoneticPr fontId="1" type="noConversion"/>
  </si>
  <si>
    <t>A.民族主义、民权主义、民生主义</t>
    <phoneticPr fontId="1" type="noConversion"/>
  </si>
  <si>
    <t>C.建立民国、平均地权</t>
    <phoneticPr fontId="1" type="noConversion"/>
  </si>
  <si>
    <t>13.中国同盟会的成立标志着中国资产阶级民主革命进入了一个新阶段。这里的“新阶段”主要是指（    ）</t>
    <phoneticPr fontId="1" type="noConversion"/>
  </si>
  <si>
    <t>A.资产阶级革命派开始正式形成</t>
    <phoneticPr fontId="1" type="noConversion"/>
  </si>
  <si>
    <t>B.开始与保皇派展开激烈论战</t>
    <phoneticPr fontId="1" type="noConversion"/>
  </si>
  <si>
    <t>C.革命派开始积极发动武装起义</t>
    <phoneticPr fontId="1" type="noConversion"/>
  </si>
  <si>
    <t>D.革命有了统一的领导和纲领</t>
    <phoneticPr fontId="1" type="noConversion"/>
  </si>
  <si>
    <t>14.1905年至1907年间，围绕中国究竟是采用革命手段还是改良方式这个问题，革命派与改良派进行论战，革命派的主要舆论阵地是（    ）</t>
    <phoneticPr fontId="1" type="noConversion"/>
  </si>
  <si>
    <t>A.《民报》</t>
    <phoneticPr fontId="1" type="noConversion"/>
  </si>
  <si>
    <t>B.《新民丛报》</t>
    <phoneticPr fontId="1" type="noConversion"/>
  </si>
  <si>
    <t>C.《时务报》</t>
    <phoneticPr fontId="1" type="noConversion"/>
  </si>
  <si>
    <t>D.《国闻报》</t>
    <phoneticPr fontId="1" type="noConversion"/>
  </si>
  <si>
    <t>15.在辛亥革命爆发前，孙中山领导中国同盟会发动的武装起义中影响最大的是（    ）</t>
    <phoneticPr fontId="1" type="noConversion"/>
  </si>
  <si>
    <t>B.惠州起义</t>
    <phoneticPr fontId="1" type="noConversion"/>
  </si>
  <si>
    <t>C.萍浏醴起义</t>
    <phoneticPr fontId="1" type="noConversion"/>
  </si>
  <si>
    <t>D.镇南关起义</t>
    <phoneticPr fontId="1" type="noConversion"/>
  </si>
  <si>
    <t>16.武昌起义前夕，在保路运动中规模最大、斗争最激烈的省份是（    ）</t>
    <phoneticPr fontId="1" type="noConversion"/>
  </si>
  <si>
    <t>A.湖南</t>
    <phoneticPr fontId="1" type="noConversion"/>
  </si>
  <si>
    <t>B.湖北</t>
    <phoneticPr fontId="1" type="noConversion"/>
  </si>
  <si>
    <t>C.广东</t>
    <phoneticPr fontId="1" type="noConversion"/>
  </si>
  <si>
    <t>D.四川</t>
    <phoneticPr fontId="1" type="noConversion"/>
  </si>
  <si>
    <t>17.武昌起义成功后，建立的政权是（    ）</t>
    <phoneticPr fontId="1" type="noConversion"/>
  </si>
  <si>
    <t>A.湖北军政府</t>
    <phoneticPr fontId="1" type="noConversion"/>
  </si>
  <si>
    <t>B.湖北咨议局</t>
    <phoneticPr fontId="1" type="noConversion"/>
  </si>
  <si>
    <t>C.中华民国政府</t>
    <phoneticPr fontId="1" type="noConversion"/>
  </si>
  <si>
    <t>D.南京临时政府</t>
    <phoneticPr fontId="1" type="noConversion"/>
  </si>
  <si>
    <t>18.武昌起义爆发后，控制大部分地方政权的是（    ）</t>
    <phoneticPr fontId="1" type="noConversion"/>
  </si>
  <si>
    <t>A.革命党人</t>
    <phoneticPr fontId="1" type="noConversion"/>
  </si>
  <si>
    <t>B.北洋军阀和旧官僚</t>
    <phoneticPr fontId="1" type="noConversion"/>
  </si>
  <si>
    <t>C.袁世凯的亲信</t>
    <phoneticPr fontId="1" type="noConversion"/>
  </si>
  <si>
    <t>D.立宪派和旧官僚</t>
    <phoneticPr fontId="1" type="noConversion"/>
  </si>
  <si>
    <t>19.中国历史上第一部具有资产阶级共和国宪法性质的法典是（    ）</t>
    <phoneticPr fontId="1" type="noConversion"/>
  </si>
  <si>
    <t>A.《钦定宪法大纲》</t>
    <phoneticPr fontId="1" type="noConversion"/>
  </si>
  <si>
    <t>B.《中华民国临时约法》</t>
    <phoneticPr fontId="1" type="noConversion"/>
  </si>
  <si>
    <t>C.《中国民国约法》</t>
    <phoneticPr fontId="1" type="noConversion"/>
  </si>
  <si>
    <t>D.《训政纲领》</t>
    <phoneticPr fontId="1" type="noConversion"/>
  </si>
  <si>
    <t>20.在1840年至1919年期间，比较完全意义上的资产阶级民主革命是（    ）</t>
    <phoneticPr fontId="1" type="noConversion"/>
  </si>
  <si>
    <t>A.辛亥革命</t>
    <phoneticPr fontId="1" type="noConversion"/>
  </si>
  <si>
    <t>B.戊戌维新运动</t>
    <phoneticPr fontId="1" type="noConversion"/>
  </si>
  <si>
    <t>C.太平天国运动</t>
    <phoneticPr fontId="1" type="noConversion"/>
  </si>
  <si>
    <t>D.义和团运动</t>
    <phoneticPr fontId="1" type="noConversion"/>
  </si>
  <si>
    <t>21.袁世凯公然进行帝制复辟活动，下令称为“中华民国洪宪元年”的是（    ）</t>
    <phoneticPr fontId="1" type="noConversion"/>
  </si>
  <si>
    <t>A.1913年</t>
    <phoneticPr fontId="1" type="noConversion"/>
  </si>
  <si>
    <t>B.1914年</t>
    <phoneticPr fontId="1" type="noConversion"/>
  </si>
  <si>
    <t>C.1915年</t>
    <phoneticPr fontId="1" type="noConversion"/>
  </si>
  <si>
    <t>D.1916年</t>
    <phoneticPr fontId="1" type="noConversion"/>
  </si>
  <si>
    <t>22.为反对袁世凯刺杀宋教仁和“善后大借款”，孙中山在1913年领导革命党人发动了（    ）</t>
    <phoneticPr fontId="1" type="noConversion"/>
  </si>
  <si>
    <t>A.二次革命</t>
    <phoneticPr fontId="1" type="noConversion"/>
  </si>
  <si>
    <t>B.护国战争</t>
    <phoneticPr fontId="1" type="noConversion"/>
  </si>
  <si>
    <t>C.护法战争</t>
    <phoneticPr fontId="1" type="noConversion"/>
  </si>
  <si>
    <t>D.北伐战争</t>
    <phoneticPr fontId="1" type="noConversion"/>
  </si>
  <si>
    <t>23.标志着整个中国民族资产阶级的旧民主主义革命终结的是（    ）</t>
    <phoneticPr fontId="1" type="noConversion"/>
  </si>
  <si>
    <t>A.二次革命的失败</t>
    <phoneticPr fontId="1" type="noConversion"/>
  </si>
  <si>
    <t>B.护国运动的失败</t>
    <phoneticPr fontId="1" type="noConversion"/>
  </si>
  <si>
    <t>C.护法运动的失败</t>
    <phoneticPr fontId="1" type="noConversion"/>
  </si>
  <si>
    <t>D.保路运动的失败</t>
    <phoneticPr fontId="1" type="noConversion"/>
  </si>
  <si>
    <t>24.民国初年两次帝制复辟失败的共同原因是（    ）</t>
    <phoneticPr fontId="1" type="noConversion"/>
  </si>
  <si>
    <t>A.资产阶级力量强大</t>
    <phoneticPr fontId="1" type="noConversion"/>
  </si>
  <si>
    <t>B.孙中山高举反复辟旗帜</t>
    <phoneticPr fontId="1" type="noConversion"/>
  </si>
  <si>
    <t>C.北洋军阀内部矛盾激化</t>
    <phoneticPr fontId="1" type="noConversion"/>
  </si>
  <si>
    <t>D.经过辛亥革命，民主共和观念已深入人心</t>
    <phoneticPr fontId="1" type="noConversion"/>
  </si>
  <si>
    <t>25.近代中国首先提出“振兴中华”口号的是（    ）</t>
    <phoneticPr fontId="1" type="noConversion"/>
  </si>
  <si>
    <t>A.康有为</t>
    <phoneticPr fontId="1" type="noConversion"/>
  </si>
  <si>
    <t>B.洪秀全</t>
    <phoneticPr fontId="1" type="noConversion"/>
  </si>
  <si>
    <t>C.林则徐</t>
    <phoneticPr fontId="1" type="noConversion"/>
  </si>
  <si>
    <t>D.孙中山</t>
    <phoneticPr fontId="1" type="noConversion"/>
  </si>
  <si>
    <t>26.辛亥革命失败的根本原因是（    ）</t>
    <phoneticPr fontId="1" type="noConversion"/>
  </si>
  <si>
    <t>A.帝国主义的破坏</t>
    <phoneticPr fontId="1" type="noConversion"/>
  </si>
  <si>
    <t>B.南京临时政府的涣散和软弱</t>
    <phoneticPr fontId="1" type="noConversion"/>
  </si>
  <si>
    <t>C.袁世凯的政治欺骗和军事压力</t>
    <phoneticPr fontId="1" type="noConversion"/>
  </si>
  <si>
    <t>D.资产阶级的软弱性和妥协性</t>
    <phoneticPr fontId="1" type="noConversion"/>
  </si>
  <si>
    <t>27.辛亥革命最伟大的功绩是（    ）</t>
    <phoneticPr fontId="1" type="noConversion"/>
  </si>
  <si>
    <t>A.推翻了清王朝</t>
    <phoneticPr fontId="1" type="noConversion"/>
  </si>
  <si>
    <t>B.结束了封建帝制</t>
    <phoneticPr fontId="1" type="noConversion"/>
  </si>
  <si>
    <t>C.促进了思想解放</t>
    <phoneticPr fontId="1" type="noConversion"/>
  </si>
  <si>
    <t>D.促进了民族资本主义的发展</t>
    <phoneticPr fontId="1" type="noConversion"/>
  </si>
  <si>
    <t>28.1913年，“二次革命”的导火线是（    ）</t>
    <phoneticPr fontId="1" type="noConversion"/>
  </si>
  <si>
    <t>A.宋教仁被刺</t>
    <phoneticPr fontId="1" type="noConversion"/>
  </si>
  <si>
    <t>B.段祺瑞</t>
    <phoneticPr fontId="1" type="noConversion"/>
  </si>
  <si>
    <t>C.袁世凯称帝</t>
    <phoneticPr fontId="1" type="noConversion"/>
  </si>
  <si>
    <t>D.张勋复辟闹剧</t>
    <phoneticPr fontId="1" type="noConversion"/>
  </si>
  <si>
    <t>29.下列各项中，不属于1901年清政府实行的“新政”的内容的是（    ）</t>
    <phoneticPr fontId="1" type="noConversion"/>
  </si>
  <si>
    <t>A.派遣留学生</t>
    <phoneticPr fontId="1" type="noConversion"/>
  </si>
  <si>
    <t>B.裁撤军机处</t>
    <phoneticPr fontId="1" type="noConversion"/>
  </si>
  <si>
    <t>C.编练新军</t>
    <phoneticPr fontId="1" type="noConversion"/>
  </si>
  <si>
    <t>D.奖励实业</t>
    <phoneticPr fontId="1" type="noConversion"/>
  </si>
  <si>
    <t>30.1903年邹容写的（    ）是中国近代史上第一部宣传革命和资产阶级共和国思想的著作</t>
    <phoneticPr fontId="1" type="noConversion"/>
  </si>
  <si>
    <t>A.《猛回头》</t>
    <phoneticPr fontId="1" type="noConversion"/>
  </si>
  <si>
    <t>B.《警世钟》</t>
    <phoneticPr fontId="1" type="noConversion"/>
  </si>
  <si>
    <t>C.《革命军》</t>
    <phoneticPr fontId="1" type="noConversion"/>
  </si>
  <si>
    <t>D.《驳康有为论革命书》</t>
    <phoneticPr fontId="1" type="noConversion"/>
  </si>
  <si>
    <t>31.同盟会的机关刊物是（    ）</t>
    <phoneticPr fontId="1" type="noConversion"/>
  </si>
  <si>
    <t>B.《新民丛报》
破坏计算机硬件</t>
    <phoneticPr fontId="1" type="noConversion"/>
  </si>
  <si>
    <t>C.《苏报》</t>
    <phoneticPr fontId="1" type="noConversion"/>
  </si>
  <si>
    <t>D.《国民报》</t>
    <phoneticPr fontId="1" type="noConversion"/>
  </si>
  <si>
    <t>32.孙中山三民主义思想的核心是（    ）。</t>
    <phoneticPr fontId="1" type="noConversion"/>
  </si>
  <si>
    <t>A.驱除鞑虏</t>
    <phoneticPr fontId="1" type="noConversion"/>
  </si>
  <si>
    <t>B.恢复中华</t>
    <phoneticPr fontId="1" type="noConversion"/>
  </si>
  <si>
    <t>C.创立民国</t>
    <phoneticPr fontId="1" type="noConversion"/>
  </si>
  <si>
    <t>33.武昌起义的导火线（    ）</t>
    <phoneticPr fontId="1" type="noConversion"/>
  </si>
  <si>
    <t>A.黄花岗起义</t>
    <phoneticPr fontId="1" type="noConversion"/>
  </si>
  <si>
    <t>C.保路运动</t>
    <phoneticPr fontId="1" type="noConversion"/>
  </si>
  <si>
    <t>D.广州起义</t>
    <phoneticPr fontId="1" type="noConversion"/>
  </si>
  <si>
    <t>34.1912年1月1日，孙中山在（    ）宣誓就职，宣告中华民国正式成立</t>
    <phoneticPr fontId="1" type="noConversion"/>
  </si>
  <si>
    <t>A.北京</t>
    <phoneticPr fontId="1" type="noConversion"/>
  </si>
  <si>
    <t>B.南京</t>
    <phoneticPr fontId="1" type="noConversion"/>
  </si>
  <si>
    <t>C.广州</t>
    <phoneticPr fontId="1" type="noConversion"/>
  </si>
  <si>
    <t>D.上海</t>
    <phoneticPr fontId="1" type="noConversion"/>
  </si>
  <si>
    <t>35.1914年7月，孙中山在东京正式成立了（    ）</t>
    <phoneticPr fontId="1" type="noConversion"/>
  </si>
  <si>
    <t>B.中国同盟会</t>
    <phoneticPr fontId="1" type="noConversion"/>
  </si>
  <si>
    <t>C.中华革命党</t>
    <phoneticPr fontId="1" type="noConversion"/>
  </si>
  <si>
    <t>D.中国国民党</t>
    <phoneticPr fontId="1" type="noConversion"/>
  </si>
  <si>
    <t>36.1894年，孙中山在檀香山建立的资产阶级革命组织是（    ）</t>
    <phoneticPr fontId="1" type="noConversion"/>
  </si>
  <si>
    <t>D.岳王会</t>
    <phoneticPr fontId="1" type="noConversion"/>
  </si>
  <si>
    <t>37.1911年夏，湖北、湖南、广州和四川爆发的民众运动是（    ）</t>
    <phoneticPr fontId="1" type="noConversion"/>
  </si>
  <si>
    <t>A.拒俄运动</t>
    <phoneticPr fontId="1" type="noConversion"/>
  </si>
  <si>
    <t>B.拒法运动</t>
    <phoneticPr fontId="1" type="noConversion"/>
  </si>
  <si>
    <t>D.立宪运动</t>
    <phoneticPr fontId="1" type="noConversion"/>
  </si>
  <si>
    <t>38.辛亥革命时期，资产阶级革命派的阶级基础是（    ）</t>
    <phoneticPr fontId="1" type="noConversion"/>
  </si>
  <si>
    <t>A.买办资产阶级</t>
    <phoneticPr fontId="1" type="noConversion"/>
  </si>
  <si>
    <t>B.官僚资产阶级</t>
    <phoneticPr fontId="1" type="noConversion"/>
  </si>
  <si>
    <t>C.民族资产阶级</t>
    <phoneticPr fontId="1" type="noConversion"/>
  </si>
  <si>
    <t>D.城市小资产阶级</t>
    <phoneticPr fontId="1" type="noConversion"/>
  </si>
  <si>
    <t>39.中国资产阶级领导的民主革命进入一个新阶段的标志是（    ）</t>
    <phoneticPr fontId="1" type="noConversion"/>
  </si>
  <si>
    <t>A.兴中会的成立</t>
    <phoneticPr fontId="1" type="noConversion"/>
  </si>
  <si>
    <t>C.光复会的成立</t>
    <phoneticPr fontId="1" type="noConversion"/>
  </si>
  <si>
    <t>40.1905年至1907年，资产阶级革命派与改良派论战的焦点是（    ）</t>
    <phoneticPr fontId="1" type="noConversion"/>
  </si>
  <si>
    <t>A.要不要打倒列强</t>
    <phoneticPr fontId="1" type="noConversion"/>
  </si>
  <si>
    <t>B.要不要实行共和</t>
    <phoneticPr fontId="1" type="noConversion"/>
  </si>
  <si>
    <t>C.要不要以革命手段推翻清政府</t>
    <phoneticPr fontId="1" type="noConversion"/>
  </si>
  <si>
    <t>D.要不要废科举、兴学堂</t>
    <phoneticPr fontId="1" type="noConversion"/>
  </si>
  <si>
    <t>41.1911年5月，清政府成立责任内阁，这个内阁被讥为（    ）</t>
    <phoneticPr fontId="1" type="noConversion"/>
  </si>
  <si>
    <t>A.贵族内阁</t>
    <phoneticPr fontId="1" type="noConversion"/>
  </si>
  <si>
    <t>B.立宪内阁</t>
    <phoneticPr fontId="1" type="noConversion"/>
  </si>
  <si>
    <t>C.影子内阁</t>
    <phoneticPr fontId="1" type="noConversion"/>
  </si>
  <si>
    <t>D.皇族内阁</t>
    <phoneticPr fontId="1" type="noConversion"/>
  </si>
  <si>
    <t>42.1917年6月，率领“辫子军”北上、拥清废帝溥仪复辟的前清官僚是（    ）</t>
    <phoneticPr fontId="1" type="noConversion"/>
  </si>
  <si>
    <t>A.段祺瑞</t>
    <phoneticPr fontId="1" type="noConversion"/>
  </si>
  <si>
    <t>B.张勋</t>
    <phoneticPr fontId="1" type="noConversion"/>
  </si>
  <si>
    <t>C.袁世凯</t>
    <phoneticPr fontId="1" type="noConversion"/>
  </si>
  <si>
    <t>D.李鸿章</t>
    <phoneticPr fontId="1" type="noConversion"/>
  </si>
  <si>
    <t>43.中国封建社会产生诸多“盛世”，出现在清代的是（    ）</t>
    <phoneticPr fontId="1" type="noConversion"/>
  </si>
  <si>
    <t>A.文景之治</t>
    <phoneticPr fontId="1" type="noConversion"/>
  </si>
  <si>
    <t>B.贞观之治</t>
    <phoneticPr fontId="1" type="noConversion"/>
  </si>
  <si>
    <t>C.开元之治</t>
    <phoneticPr fontId="1" type="noConversion"/>
  </si>
  <si>
    <t>D.康乾盛世</t>
    <phoneticPr fontId="1" type="noConversion"/>
  </si>
  <si>
    <t>44.标志着世界历史开始进入资本主义时代的是（    ）</t>
    <phoneticPr fontId="1" type="noConversion"/>
  </si>
  <si>
    <t>A.英国资产阶级革命</t>
    <phoneticPr fontId="1" type="noConversion"/>
  </si>
  <si>
    <t>B.美国资产阶级革命</t>
    <phoneticPr fontId="1" type="noConversion"/>
  </si>
  <si>
    <t>C.法国资产阶级革命</t>
    <phoneticPr fontId="1" type="noConversion"/>
  </si>
  <si>
    <t>D.俄国资产阶级革命</t>
    <phoneticPr fontId="1" type="noConversion"/>
  </si>
  <si>
    <t>45.19世纪初，大肆向中国走私鸦片的国家是（    ）</t>
    <phoneticPr fontId="1" type="noConversion"/>
  </si>
  <si>
    <t>A.美国</t>
    <phoneticPr fontId="1" type="noConversion"/>
  </si>
  <si>
    <t>B.英国</t>
    <phoneticPr fontId="1" type="noConversion"/>
  </si>
  <si>
    <t>C.日本</t>
    <phoneticPr fontId="1" type="noConversion"/>
  </si>
  <si>
    <t>D.俄国</t>
    <phoneticPr fontId="1" type="noConversion"/>
  </si>
  <si>
    <t>46.第一次鸦片战争后，中国逐步演变为（    ）</t>
    <phoneticPr fontId="1" type="noConversion"/>
  </si>
  <si>
    <t>A.封建主义性质的国家</t>
    <phoneticPr fontId="1" type="noConversion"/>
  </si>
  <si>
    <t>B.半殖民地半资本主义性质的国家</t>
    <phoneticPr fontId="1" type="noConversion"/>
  </si>
  <si>
    <t>C.资本主义性质的国家</t>
    <phoneticPr fontId="1" type="noConversion"/>
  </si>
  <si>
    <t>D.半殖民地半封建性质的国家</t>
    <phoneticPr fontId="1" type="noConversion"/>
  </si>
  <si>
    <t>47.中国近代史上第一个不平等条约是（    ）</t>
    <phoneticPr fontId="1" type="noConversion"/>
  </si>
  <si>
    <t>A.中法《黄埔条约》</t>
    <phoneticPr fontId="1" type="noConversion"/>
  </si>
  <si>
    <t>B.中英《虎门条约》</t>
    <phoneticPr fontId="1" type="noConversion"/>
  </si>
  <si>
    <t>C.中美《望厦条约》</t>
    <phoneticPr fontId="1" type="noConversion"/>
  </si>
  <si>
    <t>D.中英《南京条约》</t>
    <phoneticPr fontId="1" type="noConversion"/>
  </si>
  <si>
    <t>48.中国近代史的起点是（    ）</t>
    <phoneticPr fontId="1" type="noConversion"/>
  </si>
  <si>
    <t>49.认识中国近代一切社会问题和革命问题的最基本的依据是认识（    ）</t>
    <phoneticPr fontId="1" type="noConversion"/>
  </si>
  <si>
    <t>A.中国近代社会半殖民地半封建的性质</t>
    <phoneticPr fontId="1" type="noConversion"/>
  </si>
  <si>
    <t>B.中国近代社会近代化的历史过程</t>
    <phoneticPr fontId="1" type="noConversion"/>
  </si>
  <si>
    <t>C.中国近代民族民主革命的性质</t>
    <phoneticPr fontId="1" type="noConversion"/>
  </si>
  <si>
    <t>D.中国近代社会经济结构的变化过程</t>
    <phoneticPr fontId="1" type="noConversion"/>
  </si>
  <si>
    <t>50.在近代中国错综复杂的社会矛盾中，最主要的矛盾是（    ）</t>
    <phoneticPr fontId="1" type="noConversion"/>
  </si>
  <si>
    <t>A.无产阶级和资产阶级的矛盾</t>
    <phoneticPr fontId="1" type="noConversion"/>
  </si>
  <si>
    <t>B.封建主义和人民大众的矛盾</t>
    <phoneticPr fontId="1" type="noConversion"/>
  </si>
  <si>
    <t>C.农民阶级和地主阶级的矛盾</t>
    <phoneticPr fontId="1" type="noConversion"/>
  </si>
  <si>
    <t>D.帝国主义和中华民族的矛盾</t>
    <phoneticPr fontId="1" type="noConversion"/>
  </si>
  <si>
    <t>51.近代中国的历史表明，要取得民族独立和人民解放必须首先进行（    ）</t>
    <phoneticPr fontId="1" type="noConversion"/>
  </si>
  <si>
    <t>A.反对帝国主义侵略的斗争</t>
    <phoneticPr fontId="1" type="noConversion"/>
  </si>
  <si>
    <t>B.反帝反封建的资产阶级民主革命</t>
    <phoneticPr fontId="1" type="noConversion"/>
  </si>
  <si>
    <t>C.反对封建主义压迫的斗争</t>
    <phoneticPr fontId="1" type="noConversion"/>
  </si>
  <si>
    <t>D.反对资产阶级的社会主义革命</t>
    <phoneticPr fontId="1" type="noConversion"/>
  </si>
  <si>
    <t>52.在近代中国，实现国家富强和人民富裕的前提条件是（    ）</t>
    <phoneticPr fontId="1" type="noConversion"/>
  </si>
  <si>
    <t>A.反对帝国主义的侵略</t>
    <phoneticPr fontId="1" type="noConversion"/>
  </si>
  <si>
    <t>B.争得民族独立和人民解放</t>
    <phoneticPr fontId="1" type="noConversion"/>
  </si>
  <si>
    <t>C.推翻封建主义的统治</t>
    <phoneticPr fontId="1" type="noConversion"/>
  </si>
  <si>
    <t>D.建立资本主义制度</t>
    <phoneticPr fontId="1" type="noConversion"/>
  </si>
  <si>
    <t>53.中国封建社会的文化思想体系以（    ）为核心</t>
    <phoneticPr fontId="1" type="noConversion"/>
  </si>
  <si>
    <t>A.儒家思想</t>
    <phoneticPr fontId="1" type="noConversion"/>
  </si>
  <si>
    <t>B.道家思想</t>
    <phoneticPr fontId="1" type="noConversion"/>
  </si>
  <si>
    <t>C.墨家思想</t>
    <phoneticPr fontId="1" type="noConversion"/>
  </si>
  <si>
    <t>D.佛教思想</t>
    <phoneticPr fontId="1" type="noConversion"/>
  </si>
  <si>
    <t>54.世界历史开始进入资本主义时代的标志性事件是（    ）</t>
    <phoneticPr fontId="1" type="noConversion"/>
  </si>
  <si>
    <t>A.1640年英国资产阶级革命</t>
    <phoneticPr fontId="1" type="noConversion"/>
  </si>
  <si>
    <t>B.1680年俄国彼得一世改革</t>
    <phoneticPr fontId="1" type="noConversion"/>
  </si>
  <si>
    <t>C.1789年法国大革命</t>
    <phoneticPr fontId="1" type="noConversion"/>
  </si>
  <si>
    <t>D.1868年日本明治维新</t>
    <phoneticPr fontId="1" type="noConversion"/>
  </si>
  <si>
    <t>55.鸦片战争后，中国经济逐渐被卷入世界资本主义市场，其对中国的影响不包括（    ）</t>
    <phoneticPr fontId="1" type="noConversion"/>
  </si>
  <si>
    <t>A.给自足的自然经济逐步解体</t>
    <phoneticPr fontId="1" type="noConversion"/>
  </si>
  <si>
    <t>B.西方的先进生产技术逐步传入中国</t>
    <phoneticPr fontId="1" type="noConversion"/>
  </si>
  <si>
    <t>C.英国对华输出商品激增</t>
    <phoneticPr fontId="1" type="noConversion"/>
  </si>
  <si>
    <t>D.封建地主所有制瓦解</t>
    <phoneticPr fontId="1" type="noConversion"/>
  </si>
  <si>
    <t>56.在五四运动至新中国成立前这一时期，中国的社会性质是（    ）</t>
    <phoneticPr fontId="1" type="noConversion"/>
  </si>
  <si>
    <t>A.封建主义社会</t>
    <phoneticPr fontId="1" type="noConversion"/>
  </si>
  <si>
    <t>B.半殖民地社会</t>
    <phoneticPr fontId="1" type="noConversion"/>
  </si>
  <si>
    <t>C.资本主义社会</t>
    <phoneticPr fontId="1" type="noConversion"/>
  </si>
  <si>
    <t>D.半殖民地半封建社会</t>
    <phoneticPr fontId="1" type="noConversion"/>
  </si>
  <si>
    <t>57.在五四运动至新中国成立前这一时期，中国社会最重要的矛盾仍然是（    ）</t>
    <phoneticPr fontId="1" type="noConversion"/>
  </si>
  <si>
    <t>A.中华民族同帝国主义的矛盾</t>
    <phoneticPr fontId="1" type="noConversion"/>
  </si>
  <si>
    <t>B.农民阶级同地主阶级的矛盾</t>
    <phoneticPr fontId="1" type="noConversion"/>
  </si>
  <si>
    <t>C.人民大众同封建主义的矛盾</t>
    <phoneticPr fontId="1" type="noConversion"/>
  </si>
  <si>
    <t>D.工人阶级同资产阶级的矛盾</t>
    <phoneticPr fontId="1" type="noConversion"/>
  </si>
  <si>
    <t>58.从五四运动到新中国成立前，中国反帝反封建的革命性质属于（    ）</t>
    <phoneticPr fontId="1" type="noConversion"/>
  </si>
  <si>
    <t>A.无产阶级社会主义革命</t>
    <phoneticPr fontId="1" type="noConversion"/>
  </si>
  <si>
    <t>B.农民阶级革命</t>
    <phoneticPr fontId="1" type="noConversion"/>
  </si>
  <si>
    <t>C.资产阶级民主主义革命</t>
    <phoneticPr fontId="1" type="noConversion"/>
  </si>
  <si>
    <t>D.小资产阶级革命</t>
    <phoneticPr fontId="1" type="noConversion"/>
  </si>
  <si>
    <t>59.从五四运动到新中国成立前，中国反帝反封建的革命处于（    ）</t>
    <phoneticPr fontId="1" type="noConversion"/>
  </si>
  <si>
    <t>A.旧民主主义革命时期</t>
    <phoneticPr fontId="1" type="noConversion"/>
  </si>
  <si>
    <t>B.新民主主义革命时期</t>
    <phoneticPr fontId="1" type="noConversion"/>
  </si>
  <si>
    <t>C.旧民主主义向新民主主义过渡时期</t>
    <phoneticPr fontId="1" type="noConversion"/>
  </si>
  <si>
    <t>D.新民主主义向社会主义过渡时期</t>
    <phoneticPr fontId="1" type="noConversion"/>
  </si>
  <si>
    <t>60.在五四运动至新中国成立前这一时期，中国反帝反封建斗争的主力是（    ）</t>
    <phoneticPr fontId="1" type="noConversion"/>
  </si>
  <si>
    <t>A.工人阶级</t>
    <phoneticPr fontId="1" type="noConversion"/>
  </si>
  <si>
    <t>B.农民阶级</t>
    <phoneticPr fontId="1" type="noConversion"/>
  </si>
  <si>
    <t>C.城市小资产阶级</t>
    <phoneticPr fontId="1" type="noConversion"/>
  </si>
  <si>
    <t>D.民族资产阶级</t>
    <phoneticPr fontId="1" type="noConversion"/>
  </si>
  <si>
    <t>4.孙中山在1894年领导建立的资产阶级革命团体是（    ）</t>
    <phoneticPr fontId="1" type="noConversion"/>
  </si>
  <si>
    <t>B.萍浏醴起义</t>
    <phoneticPr fontId="1" type="noConversion"/>
  </si>
  <si>
    <t>D.中国同盟会的成立</t>
    <phoneticPr fontId="1" type="noConversion"/>
  </si>
  <si>
    <t>请在下面答案处填入ABCD（不区分大小写）</t>
    <phoneticPr fontId="1" type="noConversion"/>
  </si>
  <si>
    <t>分数</t>
    <phoneticPr fontId="1" type="noConversion"/>
  </si>
  <si>
    <t>A</t>
    <phoneticPr fontId="18" type="noConversion"/>
  </si>
  <si>
    <t>D</t>
    <phoneticPr fontId="18" type="noConversion"/>
  </si>
  <si>
    <t>C</t>
    <phoneticPr fontId="18" type="noConversion"/>
  </si>
  <si>
    <t>B</t>
    <phoneticPr fontId="18" type="noConversion"/>
  </si>
  <si>
    <t>填入答案</t>
  </si>
  <si>
    <t>得分：</t>
    <phoneticPr fontId="1" type="noConversion"/>
  </si>
  <si>
    <t>A.中法《黄埔条约》</t>
    <phoneticPr fontId="18" type="noConversion"/>
  </si>
  <si>
    <t>B.中英《虎门条约》</t>
    <phoneticPr fontId="18" type="noConversion"/>
  </si>
  <si>
    <t>C.中美《望厦条约》</t>
    <phoneticPr fontId="18" type="noConversion"/>
  </si>
  <si>
    <t>D.中英《南京条约》</t>
    <phoneticPr fontId="18" type="noConversion"/>
  </si>
  <si>
    <t>64题有争议，不会考，我删掉了。</t>
    <phoneticPr fontId="1" type="noConversion"/>
  </si>
  <si>
    <t>74.	不会考，我删掉了</t>
    <phoneticPr fontId="1" type="noConversion"/>
  </si>
  <si>
    <t xml:space="preserve">190.有问题，不会考，删掉 </t>
    <phoneticPr fontId="1" type="noConversion"/>
  </si>
  <si>
    <t>246.与前面题目重复，删除</t>
    <phoneticPr fontId="1" type="noConversion"/>
  </si>
  <si>
    <t>247.与前面题目重复，删除</t>
    <phoneticPr fontId="1" type="noConversion"/>
  </si>
  <si>
    <t>248.与前面题目重复，删除</t>
    <phoneticPr fontId="1" type="noConversion"/>
  </si>
  <si>
    <t>249.与前面题目重复，删除</t>
    <phoneticPr fontId="1" type="noConversion"/>
  </si>
  <si>
    <t>250.与前面题目重复，删除</t>
    <phoneticPr fontId="1" type="noConversion"/>
  </si>
  <si>
    <t>251.与前面题目重复，删除</t>
    <phoneticPr fontId="1" type="noConversion"/>
  </si>
  <si>
    <t>252.与前面题目重复，删除</t>
    <phoneticPr fontId="1" type="noConversion"/>
  </si>
  <si>
    <t>253.与前面题目重复，删除</t>
    <phoneticPr fontId="1" type="noConversion"/>
  </si>
  <si>
    <t>254.与前面题目重复，删除</t>
    <phoneticPr fontId="1" type="noConversion"/>
  </si>
  <si>
    <t>255.与前面题目重复，删除</t>
    <phoneticPr fontId="1" type="noConversion"/>
  </si>
  <si>
    <t>256.与前面题目重复，删除</t>
    <phoneticPr fontId="1" type="noConversion"/>
  </si>
  <si>
    <t>244.与前面题目重复，删除</t>
    <phoneticPr fontId="1" type="noConversion"/>
  </si>
  <si>
    <t>266.与前面题目重复，删除</t>
    <phoneticPr fontId="1" type="noConversion"/>
  </si>
  <si>
    <t>267.与前面题目重复，删除</t>
    <phoneticPr fontId="1" type="noConversion"/>
  </si>
  <si>
    <t>272.与前面题目重复，删除</t>
    <phoneticPr fontId="1" type="noConversion"/>
  </si>
  <si>
    <t>273.与前面题目重复，删除</t>
  </si>
  <si>
    <t>274.与前面题目重复，删除</t>
  </si>
  <si>
    <t>275.与前面题目重复，删除</t>
  </si>
  <si>
    <t>276.与前面题目重复，删除</t>
  </si>
  <si>
    <t>277.与前面题目重复，删除</t>
  </si>
  <si>
    <t>299.与前面题目重复，删除</t>
    <phoneticPr fontId="1" type="noConversion"/>
  </si>
  <si>
    <t>61.在五四运动至新中国成立前这一时期，成为中国民主革命领导力量的是（    ）</t>
    <phoneticPr fontId="1" type="noConversion"/>
  </si>
  <si>
    <t>62.19世纪末20世纪初，在外国侵华势力中占主要地位的是（    ）</t>
    <phoneticPr fontId="1" type="noConversion"/>
  </si>
  <si>
    <t>A.英国</t>
    <phoneticPr fontId="1" type="noConversion"/>
  </si>
  <si>
    <t>B.法国</t>
    <phoneticPr fontId="1" type="noConversion"/>
  </si>
  <si>
    <t>D.美国</t>
    <phoneticPr fontId="1" type="noConversion"/>
  </si>
  <si>
    <t>63.1917年发生的开辟人类历史新纪元的重大事件是（    ）</t>
    <phoneticPr fontId="1" type="noConversion"/>
  </si>
  <si>
    <t>A.第一次世界大战</t>
    <phoneticPr fontId="1" type="noConversion"/>
  </si>
  <si>
    <t>B.俄国的十月社会主义革命</t>
    <phoneticPr fontId="1" type="noConversion"/>
  </si>
  <si>
    <t>C.资本主义世界性经济危机</t>
    <phoneticPr fontId="1" type="noConversion"/>
  </si>
  <si>
    <t>D.中国的五四运动</t>
    <phoneticPr fontId="1" type="noConversion"/>
  </si>
  <si>
    <t>65.标志世界反法西斯战争发生根本性转折的战役是（    ）</t>
    <phoneticPr fontId="1" type="noConversion"/>
  </si>
  <si>
    <t>A.缅印战役</t>
    <phoneticPr fontId="1" type="noConversion"/>
  </si>
  <si>
    <t>B.斯大林格勒战役</t>
    <phoneticPr fontId="1" type="noConversion"/>
  </si>
  <si>
    <t>C.诺曼底战役</t>
    <phoneticPr fontId="1" type="noConversion"/>
  </si>
  <si>
    <t>D.中途岛战役</t>
    <phoneticPr fontId="1" type="noConversion"/>
  </si>
  <si>
    <t>66.在第二次世界大战结束后，外国垄断资本在扩张中取代日本地位的是（    ）</t>
    <phoneticPr fontId="1" type="noConversion"/>
  </si>
  <si>
    <t>C.德国</t>
    <phoneticPr fontId="1" type="noConversion"/>
  </si>
  <si>
    <t>67.中国新民主义革命必须首先实现的首要任务是（    ）</t>
    <phoneticPr fontId="1" type="noConversion"/>
  </si>
  <si>
    <t>A.反对帝国主义</t>
    <phoneticPr fontId="1" type="noConversion"/>
  </si>
  <si>
    <t>B.反对封建主义</t>
    <phoneticPr fontId="1" type="noConversion"/>
  </si>
  <si>
    <t>C.反对官僚资本主义</t>
    <phoneticPr fontId="1" type="noConversion"/>
  </si>
  <si>
    <t>D.反对民族资本主义</t>
    <phoneticPr fontId="1" type="noConversion"/>
  </si>
  <si>
    <t>68.在五四运动至新中国成立前这一时期，中国社会经济生活中占优势地位的是（    ）</t>
    <phoneticPr fontId="1" type="noConversion"/>
  </si>
  <si>
    <t>A.外国垄断资本</t>
    <phoneticPr fontId="1" type="noConversion"/>
  </si>
  <si>
    <t>B.官僚垄断资本</t>
    <phoneticPr fontId="1" type="noConversion"/>
  </si>
  <si>
    <t>C.封建主义经济</t>
    <phoneticPr fontId="1" type="noConversion"/>
  </si>
  <si>
    <t>69.1927年国民党在全国的统治建立后，蒋介石反动政权的经济基础是（    ）</t>
    <phoneticPr fontId="1" type="noConversion"/>
  </si>
  <si>
    <t>D.民族资本主义</t>
    <phoneticPr fontId="1" type="noConversion"/>
  </si>
  <si>
    <t>B.封建小农经济</t>
    <phoneticPr fontId="1" type="noConversion"/>
  </si>
  <si>
    <t>C.买办的封建的国家垄断资本</t>
    <phoneticPr fontId="1" type="noConversion"/>
  </si>
  <si>
    <t>D.民族资本主义经济</t>
    <phoneticPr fontId="1" type="noConversion"/>
  </si>
  <si>
    <t>70.1927年国民党在全国的统治建立后，官僚资本的垄断活动首先和主要是（    ）</t>
    <phoneticPr fontId="1" type="noConversion"/>
  </si>
  <si>
    <t>A.从金融业方面开始的</t>
    <phoneticPr fontId="1" type="noConversion"/>
  </si>
  <si>
    <t>B.从商业方面开始的</t>
    <phoneticPr fontId="1" type="noConversion"/>
  </si>
  <si>
    <t>C.从重工业方面开始的</t>
    <phoneticPr fontId="1" type="noConversion"/>
  </si>
  <si>
    <t>D.从交通业方面开始的</t>
    <phoneticPr fontId="1" type="noConversion"/>
  </si>
  <si>
    <t>71.在半殖民地半封建社会条件下，由于经济地位决定了在政治上带有两重性的阶级是（    ）</t>
    <phoneticPr fontId="1" type="noConversion"/>
  </si>
  <si>
    <t>72.在新民主主义革命中，工人阶级、农民阶级和城市小资产阶级的政治代表是（    ）</t>
    <phoneticPr fontId="1" type="noConversion"/>
  </si>
  <si>
    <t>A.中国国民党</t>
    <phoneticPr fontId="1" type="noConversion"/>
  </si>
  <si>
    <t>B.中国共产党</t>
    <phoneticPr fontId="1" type="noConversion"/>
  </si>
  <si>
    <t>C.中国民主同盟</t>
    <phoneticPr fontId="1" type="noConversion"/>
  </si>
  <si>
    <t>D.中国民主建国会</t>
    <phoneticPr fontId="1" type="noConversion"/>
  </si>
  <si>
    <t>73.中国共产党领导中国人民进行新民主主义革命在政治上所要达到的基本目标是（    ）</t>
    <phoneticPr fontId="1" type="noConversion"/>
  </si>
  <si>
    <t>A.建立资产阶级专政的民主共和国</t>
    <phoneticPr fontId="1" type="noConversion"/>
  </si>
  <si>
    <t>B.建立工农民主专政的人民共和国</t>
    <phoneticPr fontId="1" type="noConversion"/>
  </si>
  <si>
    <t>C.建立工农兵联合专政的苏维埃共和国</t>
    <phoneticPr fontId="1" type="noConversion"/>
  </si>
  <si>
    <t>D.建立人民民主专政的人民共和国</t>
    <phoneticPr fontId="1" type="noConversion"/>
  </si>
  <si>
    <t>75.下列哪个不是浙江新石器时代的文化（    ）</t>
    <phoneticPr fontId="1" type="noConversion"/>
  </si>
  <si>
    <t>A.良渚文化</t>
    <phoneticPr fontId="1" type="noConversion"/>
  </si>
  <si>
    <t>B.河姆渡文化</t>
    <phoneticPr fontId="1" type="noConversion"/>
  </si>
  <si>
    <t>C.龙山文化</t>
    <phoneticPr fontId="1" type="noConversion"/>
  </si>
  <si>
    <t>D.马家浜文化</t>
    <phoneticPr fontId="1" type="noConversion"/>
  </si>
  <si>
    <t>76.20世纪初年第一场帝国主义战争“日俄战争”发生在中国（    ）</t>
    <phoneticPr fontId="1" type="noConversion"/>
  </si>
  <si>
    <t>A.东北地区</t>
    <phoneticPr fontId="1" type="noConversion"/>
  </si>
  <si>
    <t>B.山东半岛</t>
    <phoneticPr fontId="1" type="noConversion"/>
  </si>
  <si>
    <t>C.东南沿海</t>
    <phoneticPr fontId="1" type="noConversion"/>
  </si>
  <si>
    <t>D.长江流域</t>
    <phoneticPr fontId="1" type="noConversion"/>
  </si>
  <si>
    <t>77.下列各项属于孙中山“三民主义”中“民生主义”的是（    ）</t>
    <phoneticPr fontId="1" type="noConversion"/>
  </si>
  <si>
    <t>A.反对满洲贵族，反对民族压迫</t>
    <phoneticPr fontId="1" type="noConversion"/>
  </si>
  <si>
    <t>B.推翻君主专制政体，建立国民政府</t>
    <phoneticPr fontId="1" type="noConversion"/>
  </si>
  <si>
    <t>C.国民有言论、集会、著作自由</t>
    <phoneticPr fontId="1" type="noConversion"/>
  </si>
  <si>
    <t>D.核定地价、征收地租税，向地主收买土地</t>
    <phoneticPr fontId="1" type="noConversion"/>
  </si>
  <si>
    <t>78.中国近代史上，共和国政体确立的标志是（    ）</t>
    <phoneticPr fontId="1" type="noConversion"/>
  </si>
  <si>
    <t>A.湖北军政府成立</t>
    <phoneticPr fontId="1" type="noConversion"/>
  </si>
  <si>
    <t>B.中华民国南京临时政府成立</t>
    <phoneticPr fontId="1" type="noConversion"/>
  </si>
  <si>
    <t>C.清帝退位</t>
    <phoneticPr fontId="1" type="noConversion"/>
  </si>
  <si>
    <t>D.袁世凯当选为临时大总统</t>
    <phoneticPr fontId="1" type="noConversion"/>
  </si>
  <si>
    <t>79.新三民主义发展了旧三民主义，主要表现在（    ）</t>
    <phoneticPr fontId="1" type="noConversion"/>
  </si>
  <si>
    <t>A.号召反对帝国主义</t>
    <phoneticPr fontId="1" type="noConversion"/>
  </si>
  <si>
    <t>B.支持封建土地制度</t>
    <phoneticPr fontId="1" type="noConversion"/>
  </si>
  <si>
    <t>C.否定国内民族压迫</t>
    <phoneticPr fontId="1" type="noConversion"/>
  </si>
  <si>
    <t>D.提出国家主权属于资本家</t>
    <phoneticPr fontId="1" type="noConversion"/>
  </si>
  <si>
    <t>80.一战期间，我国民族资本主义发展出现了短暂的春天，其中发展最快的行业是（    ）</t>
    <phoneticPr fontId="1" type="noConversion"/>
  </si>
  <si>
    <t>A.玩具制造业</t>
    <phoneticPr fontId="1" type="noConversion"/>
  </si>
  <si>
    <t>B.纺织和面粉业</t>
    <phoneticPr fontId="1" type="noConversion"/>
  </si>
  <si>
    <t>C.出版印刷业</t>
    <phoneticPr fontId="1" type="noConversion"/>
  </si>
  <si>
    <t>D.交通运输业</t>
    <phoneticPr fontId="1" type="noConversion"/>
  </si>
  <si>
    <t>81.中国人民在（    ）后开始的局部抗日战争，揭开了世界反法西斯战争的序幕</t>
    <phoneticPr fontId="1" type="noConversion"/>
  </si>
  <si>
    <t>A.九一八事变</t>
    <phoneticPr fontId="1" type="noConversion"/>
  </si>
  <si>
    <t>B.卢沟桥事变</t>
    <phoneticPr fontId="1" type="noConversion"/>
  </si>
  <si>
    <t>C.一二八事变</t>
    <phoneticPr fontId="1" type="noConversion"/>
  </si>
  <si>
    <t>D.华北事变</t>
    <phoneticPr fontId="1" type="noConversion"/>
  </si>
  <si>
    <t>82.1931年日军占领中国东北后，开始了对东北长达14年的（    ）</t>
    <phoneticPr fontId="1" type="noConversion"/>
  </si>
  <si>
    <t>A.封建统治</t>
    <phoneticPr fontId="1" type="noConversion"/>
  </si>
  <si>
    <t>B.半封建统治</t>
    <phoneticPr fontId="1" type="noConversion"/>
  </si>
  <si>
    <t>C.殖民统治</t>
    <phoneticPr fontId="1" type="noConversion"/>
  </si>
  <si>
    <t>D.半殖民统治</t>
    <phoneticPr fontId="1" type="noConversion"/>
  </si>
  <si>
    <t>83.毛泽东第一次提出马克思主义中国化的命题是在（    ）</t>
    <phoneticPr fontId="1" type="noConversion"/>
  </si>
  <si>
    <t>A.《中国革命和中国共产党》</t>
    <phoneticPr fontId="1" type="noConversion"/>
  </si>
  <si>
    <t>B.《论新阶段》</t>
    <phoneticPr fontId="1" type="noConversion"/>
  </si>
  <si>
    <t>C.《反对本本主义》</t>
    <phoneticPr fontId="1" type="noConversion"/>
  </si>
  <si>
    <t>D.《新民主主义论》</t>
    <phoneticPr fontId="1" type="noConversion"/>
  </si>
  <si>
    <t>84.日本全面侵华战争开始的标志是（    ），同时中国的抗日战争进入全国性抗战的新时期</t>
    <phoneticPr fontId="1" type="noConversion"/>
  </si>
  <si>
    <t>B.七七事变</t>
    <phoneticPr fontId="1" type="noConversion"/>
  </si>
  <si>
    <t>C.八一三事变</t>
    <phoneticPr fontId="1" type="noConversion"/>
  </si>
  <si>
    <t>85.1938年9月至11月，中国共产党在延安举行了（    ），在这次会议上，毛泽东明确提出了“马克思主义的中国化”这个命题。</t>
    <phoneticPr fontId="1" type="noConversion"/>
  </si>
  <si>
    <t>A.瓦窑堡会议</t>
    <phoneticPr fontId="1" type="noConversion"/>
  </si>
  <si>
    <t>B.洛川会议</t>
    <phoneticPr fontId="1" type="noConversion"/>
  </si>
  <si>
    <t>C.遵义会议</t>
    <phoneticPr fontId="1" type="noConversion"/>
  </si>
  <si>
    <t>D.六届六中全会</t>
    <phoneticPr fontId="1" type="noConversion"/>
  </si>
  <si>
    <t>86.1937年8月，红军主力改编为国民国民军第八路军，其总指挥是（    ）</t>
    <phoneticPr fontId="1" type="noConversion"/>
  </si>
  <si>
    <t>A.彭德怀</t>
    <phoneticPr fontId="1" type="noConversion"/>
  </si>
  <si>
    <t>B.左权</t>
    <phoneticPr fontId="1" type="noConversion"/>
  </si>
  <si>
    <t>C.朱德</t>
    <phoneticPr fontId="1" type="noConversion"/>
  </si>
  <si>
    <t>D.邓小平</t>
    <phoneticPr fontId="1" type="noConversion"/>
  </si>
  <si>
    <t>87.抗战进入相持阶段后，中国人民在华北给日本侵略者沉重打击的一次军事行动是（    ）</t>
    <phoneticPr fontId="1" type="noConversion"/>
  </si>
  <si>
    <t>A.百团大战</t>
    <phoneticPr fontId="1" type="noConversion"/>
  </si>
  <si>
    <t>B.平型关战役</t>
    <phoneticPr fontId="1" type="noConversion"/>
  </si>
  <si>
    <t>C.凇沪会战</t>
    <phoneticPr fontId="1" type="noConversion"/>
  </si>
  <si>
    <t>D.台儿庄战役</t>
    <phoneticPr fontId="1" type="noConversion"/>
  </si>
  <si>
    <t>88.为了一致抗日，1936年9月1日，中共中央发出党内指示，明确提出党的总方针是（    ）</t>
    <phoneticPr fontId="1" type="noConversion"/>
  </si>
  <si>
    <t>A.“反蒋抗日”</t>
    <phoneticPr fontId="1" type="noConversion"/>
  </si>
  <si>
    <t>B.“联蒋抗日”</t>
    <phoneticPr fontId="1" type="noConversion"/>
  </si>
  <si>
    <t>C.“逼蒋抗日”</t>
    <phoneticPr fontId="1" type="noConversion"/>
  </si>
  <si>
    <t>D.“拥蒋抗日”</t>
    <phoneticPr fontId="1" type="noConversion"/>
  </si>
  <si>
    <t>89.在卢沟桥事变中奋起抵抗日军侵略的中国军队是（    ）</t>
    <phoneticPr fontId="1" type="noConversion"/>
  </si>
  <si>
    <t>A.国民党第十九路军</t>
    <phoneticPr fontId="1" type="noConversion"/>
  </si>
  <si>
    <t>B.八路军</t>
    <phoneticPr fontId="1" type="noConversion"/>
  </si>
  <si>
    <t>C.国民党第二十九军</t>
    <phoneticPr fontId="1" type="noConversion"/>
  </si>
  <si>
    <t>D.东北军</t>
    <phoneticPr fontId="1" type="noConversion"/>
  </si>
  <si>
    <t>90.国民党由片面抗战逐步转变为消极抗战是在（    ）</t>
    <phoneticPr fontId="1" type="noConversion"/>
  </si>
  <si>
    <t>A.战略防御阶段</t>
    <phoneticPr fontId="1" type="noConversion"/>
  </si>
  <si>
    <t>B.战略进攻阶段</t>
    <phoneticPr fontId="1" type="noConversion"/>
  </si>
  <si>
    <t>C.战略反攻阶段</t>
    <phoneticPr fontId="1" type="noConversion"/>
  </si>
  <si>
    <t>D.战略相持阶段</t>
    <phoneticPr fontId="1" type="noConversion"/>
  </si>
  <si>
    <t>91.确立毛泽东思想为党的指导思想是在（    ）</t>
    <phoneticPr fontId="1" type="noConversion"/>
  </si>
  <si>
    <t>A.中国共产党七大</t>
    <phoneticPr fontId="1" type="noConversion"/>
  </si>
  <si>
    <t>B.中共六届六中全会</t>
    <phoneticPr fontId="1" type="noConversion"/>
  </si>
  <si>
    <t>D.中共六届七中全会</t>
    <phoneticPr fontId="1" type="noConversion"/>
  </si>
  <si>
    <t>92.抗日战争时期，根据地政权民主建设主要体现为（    ）</t>
    <phoneticPr fontId="1" type="noConversion"/>
  </si>
  <si>
    <t>A.建立中华苏维埃共和国</t>
    <phoneticPr fontId="1" type="noConversion"/>
  </si>
  <si>
    <t>B.实行“三三制原则”</t>
    <phoneticPr fontId="1" type="noConversion"/>
  </si>
  <si>
    <t>C.开展整风运动</t>
    <phoneticPr fontId="1" type="noConversion"/>
  </si>
  <si>
    <t>D.推行精兵简政政策</t>
    <phoneticPr fontId="1" type="noConversion"/>
  </si>
  <si>
    <t>93.全民族抗战以来中国军队取得第一次重大胜利的战役是（    ）</t>
    <phoneticPr fontId="1" type="noConversion"/>
  </si>
  <si>
    <t>A.平型关战役</t>
    <phoneticPr fontId="1" type="noConversion"/>
  </si>
  <si>
    <t>B.台儿庄战役</t>
    <phoneticPr fontId="1" type="noConversion"/>
  </si>
  <si>
    <t>C.百团大战</t>
    <phoneticPr fontId="1" type="noConversion"/>
  </si>
  <si>
    <t>D.淞沪会战</t>
    <phoneticPr fontId="1" type="noConversion"/>
  </si>
  <si>
    <t>94.中国人民抗日战争胜利纪念日是（    ）</t>
    <phoneticPr fontId="1" type="noConversion"/>
  </si>
  <si>
    <t>A.8月15日</t>
    <phoneticPr fontId="1" type="noConversion"/>
  </si>
  <si>
    <t>B.9月2日</t>
    <phoneticPr fontId="1" type="noConversion"/>
  </si>
  <si>
    <t>C.9月3日</t>
    <phoneticPr fontId="1" type="noConversion"/>
  </si>
  <si>
    <t>D.10月25日</t>
    <phoneticPr fontId="1" type="noConversion"/>
  </si>
  <si>
    <t>95.随着抗日战争时期，在关内占领区，日本军国主义者允许“中华民国”国号的存在，所谓“中华民国”是指以（    ）为首的伪政府</t>
    <phoneticPr fontId="1" type="noConversion"/>
  </si>
  <si>
    <t>A.汪精卫</t>
    <phoneticPr fontId="1" type="noConversion"/>
  </si>
  <si>
    <t>B.蒋介石</t>
    <phoneticPr fontId="1" type="noConversion"/>
  </si>
  <si>
    <t>D.溥仪</t>
    <phoneticPr fontId="1" type="noConversion"/>
  </si>
  <si>
    <t>96.华北事变发生后，中国共产党组织领导的一二九运动标志着(     )</t>
    <phoneticPr fontId="1" type="noConversion"/>
  </si>
  <si>
    <t>A.中国人民局部抗日战争的开始</t>
    <phoneticPr fontId="1" type="noConversion"/>
  </si>
  <si>
    <t>B.中国人民抗日救亡运动新高潮的到来</t>
    <phoneticPr fontId="1" type="noConversion"/>
  </si>
  <si>
    <t>C.中国抗日民族统一战线的形成</t>
    <phoneticPr fontId="1" type="noConversion"/>
  </si>
  <si>
    <t>D.中国抗日战争进入全国性抗战的新时期</t>
    <phoneticPr fontId="1" type="noConversion"/>
  </si>
  <si>
    <t>97.在抗日战争全面爆发后，国民党军队在正面战场取得大捷的是（    ）</t>
    <phoneticPr fontId="1" type="noConversion"/>
  </si>
  <si>
    <t>A.淞沪会战</t>
    <phoneticPr fontId="1" type="noConversion"/>
  </si>
  <si>
    <t>C.忻口会战</t>
    <phoneticPr fontId="1" type="noConversion"/>
  </si>
  <si>
    <t>D.武汉会战</t>
    <phoneticPr fontId="1" type="noConversion"/>
  </si>
  <si>
    <t>98.1937年8月，中国共产党在陕北洛川召开的政治局扩大会议制定了（    ）</t>
    <phoneticPr fontId="1" type="noConversion"/>
  </si>
  <si>
    <t>A.抗日救国十大纲领</t>
    <phoneticPr fontId="1" type="noConversion"/>
  </si>
  <si>
    <t>B.抗日民族统一战线的策略总方针</t>
    <phoneticPr fontId="1" type="noConversion"/>
  </si>
  <si>
    <t>C.中国人民对日作战的基本纲领</t>
    <phoneticPr fontId="1" type="noConversion"/>
  </si>
  <si>
    <t>D.持久抗战的总方针会</t>
    <phoneticPr fontId="1" type="noConversion"/>
  </si>
  <si>
    <t>99.毛泽东在《论持久战》中指出，中国抗日战争取得最后胜利的最为关键的阶段是（    ）</t>
    <phoneticPr fontId="1" type="noConversion"/>
  </si>
  <si>
    <t>B.战略相持阶段</t>
    <phoneticPr fontId="1" type="noConversion"/>
  </si>
  <si>
    <t>D.战略决战阶段</t>
    <phoneticPr fontId="1" type="noConversion"/>
  </si>
  <si>
    <t>100.在抗日战争中，张自忠英勇殉国的战役是（    ）</t>
    <phoneticPr fontId="1" type="noConversion"/>
  </si>
  <si>
    <t>A.枣宜会战</t>
    <phoneticPr fontId="1" type="noConversion"/>
  </si>
  <si>
    <t>B.淞沪会战</t>
    <phoneticPr fontId="1" type="noConversion"/>
  </si>
  <si>
    <t>C.桂南会战</t>
    <phoneticPr fontId="1" type="noConversion"/>
  </si>
  <si>
    <t>D.长沙会战</t>
    <phoneticPr fontId="1" type="noConversion"/>
  </si>
  <si>
    <t>101.随着抗日救亡运动的兴起，国民党营垒发生了分化，1933年11月国民党十九路军在（    ）发动反蒋抗日事变</t>
    <phoneticPr fontId="1" type="noConversion"/>
  </si>
  <si>
    <t>A.福州</t>
    <phoneticPr fontId="1" type="noConversion"/>
  </si>
  <si>
    <t>B.上海</t>
    <phoneticPr fontId="1" type="noConversion"/>
  </si>
  <si>
    <t>C.察哈尔</t>
    <phoneticPr fontId="1" type="noConversion"/>
  </si>
  <si>
    <t>D.南京</t>
    <phoneticPr fontId="1" type="noConversion"/>
  </si>
  <si>
    <t>102.《为抗日救国告全体同胞书》，即著名的《八一宣言》发表于（    ）</t>
    <phoneticPr fontId="1" type="noConversion"/>
  </si>
  <si>
    <t xml:space="preserve">A.1931 </t>
    <phoneticPr fontId="1" type="noConversion"/>
  </si>
  <si>
    <t xml:space="preserve">B.1932 </t>
    <phoneticPr fontId="1" type="noConversion"/>
  </si>
  <si>
    <t xml:space="preserve">C.1933 </t>
    <phoneticPr fontId="1" type="noConversion"/>
  </si>
  <si>
    <t>D.1935</t>
    <phoneticPr fontId="1" type="noConversion"/>
  </si>
  <si>
    <t>103.在淞沪会战是，据守四行仓库的是以（    ）为团长的八百壮士</t>
    <phoneticPr fontId="1" type="noConversion"/>
  </si>
  <si>
    <t>A.蒋光鼐</t>
    <phoneticPr fontId="1" type="noConversion"/>
  </si>
  <si>
    <t>B.佟麟阁</t>
    <phoneticPr fontId="1" type="noConversion"/>
  </si>
  <si>
    <t>C.谢晋元</t>
    <phoneticPr fontId="1" type="noConversion"/>
  </si>
  <si>
    <t>D.宋哲元</t>
    <phoneticPr fontId="1" type="noConversion"/>
  </si>
  <si>
    <t>104.1939年1月，国民党（    ）确定了“防共、限共、溶共、反共”的方针</t>
    <phoneticPr fontId="1" type="noConversion"/>
  </si>
  <si>
    <t>A.五届二中全会</t>
    <phoneticPr fontId="1" type="noConversion"/>
  </si>
  <si>
    <t>B.五届三中全会</t>
    <phoneticPr fontId="1" type="noConversion"/>
  </si>
  <si>
    <t>C.五届四中全会</t>
    <phoneticPr fontId="1" type="noConversion"/>
  </si>
  <si>
    <t>D.五届五中全会</t>
    <phoneticPr fontId="1" type="noConversion"/>
  </si>
  <si>
    <t>105.191940年5月，在枣宜会战中国民党第三十三集团军总司令（    ）以身殉国</t>
    <phoneticPr fontId="1" type="noConversion"/>
  </si>
  <si>
    <t>A.张治中</t>
    <phoneticPr fontId="1" type="noConversion"/>
  </si>
  <si>
    <t>B.张自忠</t>
    <phoneticPr fontId="1" type="noConversion"/>
  </si>
  <si>
    <t>C.蔡廷锴</t>
    <phoneticPr fontId="1" type="noConversion"/>
  </si>
  <si>
    <t>D.吉鸿昌</t>
    <phoneticPr fontId="1" type="noConversion"/>
  </si>
  <si>
    <t>106.八路军一一五师的师长是（    ）</t>
    <phoneticPr fontId="1" type="noConversion"/>
  </si>
  <si>
    <t>A.林彪</t>
    <phoneticPr fontId="1" type="noConversion"/>
  </si>
  <si>
    <t>B.贺龙</t>
    <phoneticPr fontId="1" type="noConversion"/>
  </si>
  <si>
    <t>C.刘伯承</t>
    <phoneticPr fontId="1" type="noConversion"/>
  </si>
  <si>
    <t>D.聂荣臻</t>
    <phoneticPr fontId="1" type="noConversion"/>
  </si>
  <si>
    <t>107.抗日民族统一战线初步形成的标志是（    ）</t>
    <phoneticPr fontId="1" type="noConversion"/>
  </si>
  <si>
    <t>A.西安事变的和平解决</t>
    <phoneticPr fontId="1" type="noConversion"/>
  </si>
  <si>
    <t>B.蒋介石庐山谈话的发表</t>
    <phoneticPr fontId="1" type="noConversion"/>
  </si>
  <si>
    <t>C.国民党五届三中全会的召开</t>
    <phoneticPr fontId="1" type="noConversion"/>
  </si>
  <si>
    <t>D.红军主力改编</t>
    <phoneticPr fontId="1" type="noConversion"/>
  </si>
  <si>
    <t>108.张学良、杨虎城在（    ），为了停止内战，共同抗日，发动了西安事变</t>
    <phoneticPr fontId="1" type="noConversion"/>
  </si>
  <si>
    <t>A.1936年5月</t>
    <phoneticPr fontId="1" type="noConversion"/>
  </si>
  <si>
    <t>B.1936年9月</t>
    <phoneticPr fontId="1" type="noConversion"/>
  </si>
  <si>
    <t>C.1936年12月</t>
    <phoneticPr fontId="1" type="noConversion"/>
  </si>
  <si>
    <t>D.1937年2月</t>
    <phoneticPr fontId="1" type="noConversion"/>
  </si>
  <si>
    <t>109.在抗日战争的战略相持阶段，共产党抗日作战的主要方式是（    ）</t>
    <phoneticPr fontId="1" type="noConversion"/>
  </si>
  <si>
    <t>A.游击战</t>
    <phoneticPr fontId="1" type="noConversion"/>
  </si>
  <si>
    <t>B.阵地战</t>
    <phoneticPr fontId="1" type="noConversion"/>
  </si>
  <si>
    <t>C.运动战</t>
    <phoneticPr fontId="1" type="noConversion"/>
  </si>
  <si>
    <t>D.正规战</t>
    <phoneticPr fontId="1" type="noConversion"/>
  </si>
  <si>
    <t>110.中国共产党在抗日民族统一战线中坚持的原则是（    ）</t>
    <phoneticPr fontId="1" type="noConversion"/>
  </si>
  <si>
    <t>A.独立自主</t>
    <phoneticPr fontId="1" type="noConversion"/>
  </si>
  <si>
    <t>B.又联合又斗争</t>
    <phoneticPr fontId="1" type="noConversion"/>
  </si>
  <si>
    <t>C.抗战、团结、进步</t>
    <phoneticPr fontId="1" type="noConversion"/>
  </si>
  <si>
    <t>D.有理、有利、有节</t>
    <phoneticPr fontId="1" type="noConversion"/>
  </si>
  <si>
    <t>111.1941年1月，国民党制造了（    ），发动了第二次反共高潮</t>
    <phoneticPr fontId="1" type="noConversion"/>
  </si>
  <si>
    <t>A.冀南事变</t>
    <phoneticPr fontId="1" type="noConversion"/>
  </si>
  <si>
    <t>B.晋西事变</t>
    <phoneticPr fontId="1" type="noConversion"/>
  </si>
  <si>
    <t>C.陇东事变</t>
    <phoneticPr fontId="1" type="noConversion"/>
  </si>
  <si>
    <t>D.皖南事变</t>
    <phoneticPr fontId="1" type="noConversion"/>
  </si>
  <si>
    <t>112.在抗日战争时期，中国共产党在根据地实行（    ）的土地政策</t>
    <phoneticPr fontId="1" type="noConversion"/>
  </si>
  <si>
    <t>A.没收地主土地</t>
    <phoneticPr fontId="1" type="noConversion"/>
  </si>
  <si>
    <t>B.减租减息</t>
    <phoneticPr fontId="1" type="noConversion"/>
  </si>
  <si>
    <t>C.耕者有其田</t>
    <phoneticPr fontId="1" type="noConversion"/>
  </si>
  <si>
    <t>D.地主不分田、富农分坏田</t>
    <phoneticPr fontId="1" type="noConversion"/>
  </si>
  <si>
    <t>113.为了克服根据地严重困难的局面，毛泽东发出了（    ）号召</t>
    <phoneticPr fontId="1" type="noConversion"/>
  </si>
  <si>
    <t>A.开垦荒地，兴修水利</t>
    <phoneticPr fontId="1" type="noConversion"/>
  </si>
  <si>
    <t>B.发展生产，保障供给</t>
    <phoneticPr fontId="1" type="noConversion"/>
  </si>
  <si>
    <t>C.自己动手，丰衣足食</t>
    <phoneticPr fontId="1" type="noConversion"/>
  </si>
  <si>
    <t>D.大生产运动</t>
    <phoneticPr fontId="1" type="noConversion"/>
  </si>
  <si>
    <t>114.在整风运动中，反对主观主义主要是整顿（    ）</t>
    <phoneticPr fontId="1" type="noConversion"/>
  </si>
  <si>
    <t>A.学风</t>
    <phoneticPr fontId="1" type="noConversion"/>
  </si>
  <si>
    <t>B.党风</t>
    <phoneticPr fontId="1" type="noConversion"/>
  </si>
  <si>
    <t>C.文风</t>
    <phoneticPr fontId="1" type="noConversion"/>
  </si>
  <si>
    <t>D.思想</t>
    <phoneticPr fontId="1" type="noConversion"/>
  </si>
  <si>
    <t>115.1945年8月，毛泽东发表的对日寇实行全国规模反攻的文章是（    ）</t>
    <phoneticPr fontId="1" type="noConversion"/>
  </si>
  <si>
    <t>A.《论持久战》</t>
    <phoneticPr fontId="1" type="noConversion"/>
  </si>
  <si>
    <t>B.《为抗日救国告全体同胞书》</t>
    <phoneticPr fontId="1" type="noConversion"/>
  </si>
  <si>
    <t>C.《对日寇最后一战》</t>
    <phoneticPr fontId="1" type="noConversion"/>
  </si>
  <si>
    <t>D.《关于目前形势和党的任务的决定》</t>
    <phoneticPr fontId="1" type="noConversion"/>
  </si>
  <si>
    <t>116.抗日战争期间，延安“吸引了一个美国军事观察团、一些美国国务院外交官和一个美国总统特使前来访问，另外还有大批外国记者前来采访”。其主要原因是（）</t>
    <phoneticPr fontId="1" type="noConversion"/>
  </si>
  <si>
    <t>A.中共领袖人物的个人魅力</t>
    <phoneticPr fontId="1" type="noConversion"/>
  </si>
  <si>
    <t>B.中共的抗日主张得到了普遍认同</t>
    <phoneticPr fontId="1" type="noConversion"/>
  </si>
  <si>
    <t>C.中共坚持抗战赢得了国际友人的广泛同情</t>
    <phoneticPr fontId="1" type="noConversion"/>
  </si>
  <si>
    <t>D.中共领导的抗日力量在抗战中的地位日显重要</t>
    <phoneticPr fontId="1" type="noConversion"/>
  </si>
  <si>
    <t>117.1945年8月，中共中央在对时局的宣言中明确提出的口号是（    ）</t>
    <phoneticPr fontId="1" type="noConversion"/>
  </si>
  <si>
    <t>A.巩固国内和平，实现民主改革</t>
    <phoneticPr fontId="1" type="noConversion"/>
  </si>
  <si>
    <t>B.和平、民主、团结</t>
    <phoneticPr fontId="1" type="noConversion"/>
  </si>
  <si>
    <t>C.打倒蒋介石，解放全中国</t>
    <phoneticPr fontId="1" type="noConversion"/>
  </si>
  <si>
    <t>D.独立、自由、和平</t>
    <phoneticPr fontId="1" type="noConversion"/>
  </si>
  <si>
    <t>118.1946年，中共中央决定将减租减息政策改变为实现“耕者有其田”政策的重要文件是（    ）</t>
    <phoneticPr fontId="1" type="noConversion"/>
  </si>
  <si>
    <t>A.《兴国土地法》</t>
    <phoneticPr fontId="1" type="noConversion"/>
  </si>
  <si>
    <t>B.《中国土地法大纲》</t>
    <phoneticPr fontId="1" type="noConversion"/>
  </si>
  <si>
    <t>C.《在晋绥干部会议上的讲话》</t>
    <phoneticPr fontId="1" type="noConversion"/>
  </si>
  <si>
    <t>D.《五四指示》</t>
    <phoneticPr fontId="1" type="noConversion"/>
  </si>
  <si>
    <t>119.1947年，台湾省人民为反抗国民党当局的暴政举行了（    ）</t>
    <phoneticPr fontId="1" type="noConversion"/>
  </si>
  <si>
    <t>A.一二一运动</t>
    <phoneticPr fontId="1" type="noConversion"/>
  </si>
  <si>
    <t>B.二二八起义</t>
    <phoneticPr fontId="1" type="noConversion"/>
  </si>
  <si>
    <t>C.五二〇运动</t>
    <phoneticPr fontId="1" type="noConversion"/>
  </si>
  <si>
    <t>D.黑旗军起义</t>
    <phoneticPr fontId="1" type="noConversion"/>
  </si>
  <si>
    <t>120.1947年6月，刘、邓大军主力实施的中央突破、千里跃进大别山揭开了人民解放战争（    ）的序幕</t>
    <phoneticPr fontId="1" type="noConversion"/>
  </si>
  <si>
    <t>A.战略防御</t>
    <phoneticPr fontId="1" type="noConversion"/>
  </si>
  <si>
    <t>B.战略相持</t>
    <phoneticPr fontId="1" type="noConversion"/>
  </si>
  <si>
    <t>C.战略进攻</t>
    <phoneticPr fontId="1" type="noConversion"/>
  </si>
  <si>
    <t>D.战略决战</t>
    <phoneticPr fontId="1" type="noConversion"/>
  </si>
  <si>
    <t>121.1947年10月10日，中国人民解放军总部发表宣言提出的口号是（    ）</t>
    <phoneticPr fontId="1" type="noConversion"/>
  </si>
  <si>
    <t>A.和平、民主、团结</t>
    <phoneticPr fontId="1" type="noConversion"/>
  </si>
  <si>
    <t>B.打倒蒋介石，解放全中国</t>
    <phoneticPr fontId="1" type="noConversion"/>
  </si>
  <si>
    <t>C.将革命进行到底</t>
    <phoneticPr fontId="1" type="noConversion"/>
  </si>
  <si>
    <t>D.巩固国内和平，实现民主改革</t>
    <phoneticPr fontId="1" type="noConversion"/>
  </si>
  <si>
    <t>122.1948年1月，公开确认中国共产党“值得每个爱国的中国人赞佩”的民主党派是（    ）</t>
    <phoneticPr fontId="1" type="noConversion"/>
  </si>
  <si>
    <t>A.中国民主同盟</t>
    <phoneticPr fontId="1" type="noConversion"/>
  </si>
  <si>
    <t>B.中国农工民主党</t>
    <phoneticPr fontId="1" type="noConversion"/>
  </si>
  <si>
    <t>C.中国民主促进会</t>
    <phoneticPr fontId="1" type="noConversion"/>
  </si>
  <si>
    <t>D.中国国民党革命委员会</t>
    <phoneticPr fontId="1" type="noConversion"/>
  </si>
  <si>
    <t>123.解放战争时期，国民党统治区人民民主运动高涨的根本原因是（    ）</t>
    <phoneticPr fontId="1" type="noConversion"/>
  </si>
  <si>
    <t>A.中国共产党组织了反蒋统治的第二条战线</t>
    <phoneticPr fontId="1" type="noConversion"/>
  </si>
  <si>
    <t>B.上海学生举行了声势浩大的“三反”斗争</t>
    <phoneticPr fontId="1" type="noConversion"/>
  </si>
  <si>
    <t>C.国民党蒋介石集团的经济崩溃和政治危机</t>
    <phoneticPr fontId="1" type="noConversion"/>
  </si>
  <si>
    <t>D.民主党派的联合斗争和人民起义遍及各地</t>
    <phoneticPr fontId="1" type="noConversion"/>
  </si>
  <si>
    <t>124.解放战争时期中国共产党制定的最彻底的土地法令是（    ）</t>
    <phoneticPr fontId="1" type="noConversion"/>
  </si>
  <si>
    <t>A.《五四指示》</t>
    <phoneticPr fontId="1" type="noConversion"/>
  </si>
  <si>
    <t>B.《土地改革法》</t>
    <phoneticPr fontId="1" type="noConversion"/>
  </si>
  <si>
    <t>C.《平津土地法》</t>
    <phoneticPr fontId="1" type="noConversion"/>
  </si>
  <si>
    <t>D.《中国土地法大纲》</t>
    <phoneticPr fontId="1" type="noConversion"/>
  </si>
  <si>
    <t>125.（    ）揭开了人民解放战争战略进攻的序幕</t>
    <phoneticPr fontId="1" type="noConversion"/>
  </si>
  <si>
    <t>A.三路大军逐鹿中原</t>
    <phoneticPr fontId="1" type="noConversion"/>
  </si>
  <si>
    <t>B.粉碎国民党重点进攻</t>
    <phoneticPr fontId="1" type="noConversion"/>
  </si>
  <si>
    <t>C.辽沈战役</t>
    <phoneticPr fontId="1" type="noConversion"/>
  </si>
  <si>
    <t>D.渡江作战</t>
    <phoneticPr fontId="1" type="noConversion"/>
  </si>
  <si>
    <t>126.1946年6月底，国民党以进攻（    ）为起点，挑起了全国性的内战</t>
    <phoneticPr fontId="1" type="noConversion"/>
  </si>
  <si>
    <t>A.华北解放区</t>
    <phoneticPr fontId="1" type="noConversion"/>
  </si>
  <si>
    <t>B.山东解放区</t>
    <phoneticPr fontId="1" type="noConversion"/>
  </si>
  <si>
    <t>C.中原解放区</t>
    <phoneticPr fontId="1" type="noConversion"/>
  </si>
  <si>
    <t>D.陕甘宁解放区</t>
    <phoneticPr fontId="1" type="noConversion"/>
  </si>
  <si>
    <t>127.提出“打倒蒋介石，解放全中国”的口号的时间是在（    ）</t>
    <phoneticPr fontId="1" type="noConversion"/>
  </si>
  <si>
    <t>A.1947年</t>
    <phoneticPr fontId="1" type="noConversion"/>
  </si>
  <si>
    <t>B.1937年</t>
    <phoneticPr fontId="1" type="noConversion"/>
  </si>
  <si>
    <t>C.1949年</t>
    <phoneticPr fontId="1" type="noConversion"/>
  </si>
  <si>
    <t>D.1948年</t>
    <phoneticPr fontId="1" type="noConversion"/>
  </si>
  <si>
    <t>128.1949年6月30日，毛泽东发表了（    ）一文，公开阐明了中共建国的主张</t>
    <phoneticPr fontId="1" type="noConversion"/>
  </si>
  <si>
    <t>A.《新民主主义论》</t>
    <phoneticPr fontId="1" type="noConversion"/>
  </si>
  <si>
    <t>B.《论联合政府》</t>
    <phoneticPr fontId="1" type="noConversion"/>
  </si>
  <si>
    <t>C.《论人民民主专政》</t>
    <phoneticPr fontId="1" type="noConversion"/>
  </si>
  <si>
    <t>D.《论十大关系》</t>
    <phoneticPr fontId="1" type="noConversion"/>
  </si>
  <si>
    <t>129.抗日战争胜利后，国共双方于（    ）签署了《政府与中共代表会谈纪要》</t>
    <phoneticPr fontId="1" type="noConversion"/>
  </si>
  <si>
    <t>A.1945年10月</t>
    <phoneticPr fontId="1" type="noConversion"/>
  </si>
  <si>
    <t>B.1945年8月</t>
    <phoneticPr fontId="1" type="noConversion"/>
  </si>
  <si>
    <t>C.1946年1月</t>
    <phoneticPr fontId="1" type="noConversion"/>
  </si>
  <si>
    <t>D.1946年3月</t>
    <phoneticPr fontId="1" type="noConversion"/>
  </si>
  <si>
    <t>130.1946年1月10日，政治协商会议在（    ）开幕</t>
    <phoneticPr fontId="1" type="noConversion"/>
  </si>
  <si>
    <t>B.重庆</t>
    <phoneticPr fontId="1" type="noConversion"/>
  </si>
  <si>
    <t>C.上海</t>
    <phoneticPr fontId="1" type="noConversion"/>
  </si>
  <si>
    <t>131.随着解放战争的顺利进行，在国民党统治区形成了以（    ）为先导的第二条战线</t>
    <phoneticPr fontId="1" type="noConversion"/>
  </si>
  <si>
    <t>A.工人运动</t>
    <phoneticPr fontId="1" type="noConversion"/>
  </si>
  <si>
    <t>B.土地改革</t>
    <phoneticPr fontId="1" type="noConversion"/>
  </si>
  <si>
    <t>C.学生运动</t>
    <phoneticPr fontId="1" type="noConversion"/>
  </si>
  <si>
    <t>D.三反运动</t>
    <phoneticPr fontId="1" type="noConversion"/>
  </si>
  <si>
    <t>132.1948年1月，民盟在（    ）香港召开一届三中全会，确认中国共产党“值得每个爱国的中国人赞佩”，标志着民盟站到了新民主主义革命的立场上来</t>
    <phoneticPr fontId="1" type="noConversion"/>
  </si>
  <si>
    <t>A.澳门</t>
    <phoneticPr fontId="1" type="noConversion"/>
  </si>
  <si>
    <t>B.香港</t>
    <phoneticPr fontId="1" type="noConversion"/>
  </si>
  <si>
    <t>C.昆明</t>
    <phoneticPr fontId="1" type="noConversion"/>
  </si>
  <si>
    <t>133.中国共产党领导的多党合作的政治格局形成于（    ）</t>
    <phoneticPr fontId="1" type="noConversion"/>
  </si>
  <si>
    <t>A.土地革命战争时期</t>
    <phoneticPr fontId="1" type="noConversion"/>
  </si>
  <si>
    <t>B.抗日战争时期</t>
    <phoneticPr fontId="1" type="noConversion"/>
  </si>
  <si>
    <t>C.解放战争时期</t>
    <phoneticPr fontId="1" type="noConversion"/>
  </si>
  <si>
    <t>D.新中国成立后</t>
    <phoneticPr fontId="1" type="noConversion"/>
  </si>
  <si>
    <t>134.在1949年召开的（    ），毛泽东提出了“两个务必”的思想</t>
    <phoneticPr fontId="1" type="noConversion"/>
  </si>
  <si>
    <t>A.中央政治局会议</t>
    <phoneticPr fontId="1" type="noConversion"/>
  </si>
  <si>
    <t>B.政治协商会议</t>
    <phoneticPr fontId="1" type="noConversion"/>
  </si>
  <si>
    <t>C.十二月会议</t>
    <phoneticPr fontId="1" type="noConversion"/>
  </si>
  <si>
    <t>D.七届二中全会</t>
    <phoneticPr fontId="1" type="noConversion"/>
  </si>
  <si>
    <t>135.1949年4月21日，毛泽东、朱德发布（    ）命令，人民解放军发起渡江战役，一举摧毁国民党苦心经营的长江防线</t>
    <phoneticPr fontId="1" type="noConversion"/>
  </si>
  <si>
    <t>A.向全国进军</t>
    <phoneticPr fontId="1" type="noConversion"/>
  </si>
  <si>
    <t>B.将革命进行到底</t>
    <phoneticPr fontId="1" type="noConversion"/>
  </si>
  <si>
    <t>D.最后一战</t>
    <phoneticPr fontId="1" type="noConversion"/>
  </si>
  <si>
    <t>136.1949年9月21日，中国人民政治协商会议在（    ）召开，开创了中国共产党与各民主党派共商国事的新局面</t>
    <phoneticPr fontId="1" type="noConversion"/>
  </si>
  <si>
    <t>A.延安</t>
    <phoneticPr fontId="1" type="noConversion"/>
  </si>
  <si>
    <t>B.北京</t>
    <phoneticPr fontId="1" type="noConversion"/>
  </si>
  <si>
    <t>C.西柏坡</t>
    <phoneticPr fontId="1" type="noConversion"/>
  </si>
  <si>
    <t>D.瑞金</t>
    <phoneticPr fontId="1" type="noConversion"/>
  </si>
  <si>
    <t>137.1949年的中国人民政治协商会议一致选举（    ）为中央人民政府主席</t>
    <phoneticPr fontId="1" type="noConversion"/>
  </si>
  <si>
    <t>A.毛泽东</t>
    <phoneticPr fontId="1" type="noConversion"/>
  </si>
  <si>
    <t>B.刘少奇</t>
    <phoneticPr fontId="1" type="noConversion"/>
  </si>
  <si>
    <t>C.陈毅</t>
    <phoneticPr fontId="1" type="noConversion"/>
  </si>
  <si>
    <t>138.1947年10月，国民党当局宣布（    ）为非法团体，宣告了第三条道路在中国行不通</t>
    <phoneticPr fontId="1" type="noConversion"/>
  </si>
  <si>
    <t>A.中国农工民主党</t>
    <phoneticPr fontId="1" type="noConversion"/>
  </si>
  <si>
    <t>B.中国民主建国会</t>
    <phoneticPr fontId="1" type="noConversion"/>
  </si>
  <si>
    <t>D.中国民主同盟</t>
    <phoneticPr fontId="1" type="noConversion"/>
  </si>
  <si>
    <t>139.抗日战争胜利后，（    ）取代了日本在中国的地位</t>
    <phoneticPr fontId="1" type="noConversion"/>
  </si>
  <si>
    <t>C.苏联</t>
    <phoneticPr fontId="1" type="noConversion"/>
  </si>
  <si>
    <t>D.法国</t>
    <phoneticPr fontId="1" type="noConversion"/>
  </si>
  <si>
    <t>140.以1945年一二一运动为起点到1947年的（    ），在国民党统治区反蒋的第二条战线正式形成。</t>
    <phoneticPr fontId="1" type="noConversion"/>
  </si>
  <si>
    <t>A.五二○运动</t>
    <phoneticPr fontId="1" type="noConversion"/>
  </si>
  <si>
    <t>B.上海摊贩运动</t>
    <phoneticPr fontId="1" type="noConversion"/>
  </si>
  <si>
    <t>C.全国抗暴运动</t>
    <phoneticPr fontId="1" type="noConversion"/>
  </si>
  <si>
    <t>D.二二八起义</t>
    <phoneticPr fontId="1" type="noConversion"/>
  </si>
  <si>
    <t>141.1949年（    ），人民解放军占领南京，宣告延续22年之久的国民党反动统治覆灭。</t>
    <phoneticPr fontId="1" type="noConversion"/>
  </si>
  <si>
    <t>A.1月1日</t>
    <phoneticPr fontId="1" type="noConversion"/>
  </si>
  <si>
    <t>B.1月14日</t>
    <phoneticPr fontId="1" type="noConversion"/>
  </si>
  <si>
    <t>C.4月1日</t>
    <phoneticPr fontId="1" type="noConversion"/>
  </si>
  <si>
    <t>D.4月23日</t>
    <phoneticPr fontId="1" type="noConversion"/>
  </si>
  <si>
    <t>142.人民解放军在数量上超过国民党军是在（    ）之后</t>
    <phoneticPr fontId="1" type="noConversion"/>
  </si>
  <si>
    <t>A.鲁西南战役</t>
    <phoneticPr fontId="1" type="noConversion"/>
  </si>
  <si>
    <t>B.辽沈战役</t>
    <phoneticPr fontId="1" type="noConversion"/>
  </si>
  <si>
    <t>C.淮海战役</t>
    <phoneticPr fontId="1" type="noConversion"/>
  </si>
  <si>
    <t>D.平津战役</t>
    <phoneticPr fontId="1" type="noConversion"/>
  </si>
  <si>
    <t>143.国民党反动统治覆灭的标志是（    ）</t>
    <phoneticPr fontId="1" type="noConversion"/>
  </si>
  <si>
    <t>A.三大战役的胜利</t>
    <phoneticPr fontId="1" type="noConversion"/>
  </si>
  <si>
    <t>B.人民解放军占领南京</t>
    <phoneticPr fontId="1" type="noConversion"/>
  </si>
  <si>
    <t>C.国民党败逃台湾</t>
    <phoneticPr fontId="1" type="noConversion"/>
  </si>
  <si>
    <t>D.新中国成立</t>
    <phoneticPr fontId="1" type="noConversion"/>
  </si>
  <si>
    <t>144.在1946年政治协商会议上争论最激烈的的问题是（    ）</t>
    <phoneticPr fontId="1" type="noConversion"/>
  </si>
  <si>
    <t>A.统一国家与和平建国问题</t>
    <phoneticPr fontId="1" type="noConversion"/>
  </si>
  <si>
    <t>B.和平建国和政治民主化问题</t>
    <phoneticPr fontId="1" type="noConversion"/>
  </si>
  <si>
    <t>C.政治民主化和军队国家化问题</t>
    <phoneticPr fontId="1" type="noConversion"/>
  </si>
  <si>
    <t>D.军队平等和党派平等问题</t>
    <phoneticPr fontId="1" type="noConversion"/>
  </si>
  <si>
    <t>145.1946年6月，国共两党全面内战爆发，其时世人议论纷纭。下列评论中，哪一种更接近事实本质？（    ）</t>
    <phoneticPr fontId="1" type="noConversion"/>
  </si>
  <si>
    <t>A.煮豆燃豆箕，相煎何太急</t>
    <phoneticPr fontId="1" type="noConversion"/>
  </si>
  <si>
    <t>B.楚汉相争，成者为王败者为寇</t>
    <phoneticPr fontId="1" type="noConversion"/>
  </si>
  <si>
    <t>C.“五四”以来，社会势力演化之必然</t>
    <phoneticPr fontId="1" type="noConversion"/>
  </si>
  <si>
    <t>D.玩偶皮影之戏，列强其后也</t>
    <phoneticPr fontId="1" type="noConversion"/>
  </si>
  <si>
    <t>146.在日记中写下“国共谈判破裂了，但我党满载人心归去”的是　（    ）</t>
    <phoneticPr fontId="1" type="noConversion"/>
  </si>
  <si>
    <t>A.周恩来</t>
    <phoneticPr fontId="1" type="noConversion"/>
  </si>
  <si>
    <t>B.王若飞</t>
    <phoneticPr fontId="1" type="noConversion"/>
  </si>
  <si>
    <t>C.李维汉</t>
    <phoneticPr fontId="1" type="noConversion"/>
  </si>
  <si>
    <t>D.秦邦宪</t>
    <phoneticPr fontId="1" type="noConversion"/>
  </si>
  <si>
    <t>147.全面内战爆发后，解放区军民的主要作战目标是　（    ）</t>
    <phoneticPr fontId="1" type="noConversion"/>
  </si>
  <si>
    <t>A.歼灭敌人的有生力量</t>
    <phoneticPr fontId="1" type="noConversion"/>
  </si>
  <si>
    <t>B.粉碎敌人的全面进攻</t>
    <phoneticPr fontId="1" type="noConversion"/>
  </si>
  <si>
    <t>C.粉碎敌人的重点进攻</t>
    <phoneticPr fontId="1" type="noConversion"/>
  </si>
  <si>
    <t>D.争夺重要城市</t>
    <phoneticPr fontId="1" type="noConversion"/>
  </si>
  <si>
    <t>148.解放战争第二年的基本任务是（    ）</t>
    <phoneticPr fontId="1" type="noConversion"/>
  </si>
  <si>
    <t>A.粉碎国民党的全面进攻</t>
    <phoneticPr fontId="1" type="noConversion"/>
  </si>
  <si>
    <t>B.粉碎国民党的重点进攻</t>
    <phoneticPr fontId="1" type="noConversion"/>
  </si>
  <si>
    <t>C.举行全国范围的战略反攻</t>
    <phoneticPr fontId="1" type="noConversion"/>
  </si>
  <si>
    <t>D.举行战略决战</t>
    <phoneticPr fontId="1" type="noConversion"/>
  </si>
  <si>
    <t>149.1947年解放军开始战略反攻时，国民党军队正在实施的战略是　（    ）</t>
    <phoneticPr fontId="1" type="noConversion"/>
  </si>
  <si>
    <t>A.全面进攻解放区</t>
    <phoneticPr fontId="1" type="noConversion"/>
  </si>
  <si>
    <t>B.重点进攻山东和陕北解放区</t>
    <phoneticPr fontId="1" type="noConversion"/>
  </si>
  <si>
    <t>C.抢占战略要地和交通线</t>
    <phoneticPr fontId="1" type="noConversion"/>
  </si>
  <si>
    <t>D.集中兵力防守战略要地</t>
    <phoneticPr fontId="1" type="noConversion"/>
  </si>
  <si>
    <t>150.1947年6月，中国人民解放军开始实行战略反攻，其战略意图是（    ）</t>
    <phoneticPr fontId="1" type="noConversion"/>
  </si>
  <si>
    <t>A.与敌军主力进行决战</t>
    <phoneticPr fontId="1" type="noConversion"/>
  </si>
  <si>
    <t>B.全面扩大解放区</t>
    <phoneticPr fontId="1" type="noConversion"/>
  </si>
  <si>
    <t>C.解放中原、进取华中</t>
    <phoneticPr fontId="1" type="noConversion"/>
  </si>
  <si>
    <t>D.由内线作战转向外线作战</t>
    <phoneticPr fontId="1" type="noConversion"/>
  </si>
  <si>
    <t>151.解放战争时期，1947年6月底，刘邓大军挺进大别山，揭开了　（    ）</t>
    <phoneticPr fontId="1" type="noConversion"/>
  </si>
  <si>
    <t>A.战略进攻的序幕</t>
    <phoneticPr fontId="1" type="noConversion"/>
  </si>
  <si>
    <t>B.战略决战的序幕</t>
    <phoneticPr fontId="1" type="noConversion"/>
  </si>
  <si>
    <t>C.战略防御的序幕</t>
    <phoneticPr fontId="1" type="noConversion"/>
  </si>
  <si>
    <t>D.战略相持的序幕</t>
    <phoneticPr fontId="1" type="noConversion"/>
  </si>
  <si>
    <t>152.解放战争时期，国民党统治区人民民主运动高涨的根本原因是（    ）</t>
    <phoneticPr fontId="1" type="noConversion"/>
  </si>
  <si>
    <t>153.重庆谈判达成的协议中最重要的是（    ）</t>
    <phoneticPr fontId="1" type="noConversion"/>
  </si>
  <si>
    <t>A.国民政府实行宪政</t>
    <phoneticPr fontId="1" type="noConversion"/>
  </si>
  <si>
    <t>B.国民党承认和平建国方针</t>
    <phoneticPr fontId="1" type="noConversion"/>
  </si>
  <si>
    <t>C.保证人民享有民主自由权利</t>
    <phoneticPr fontId="1" type="noConversion"/>
  </si>
  <si>
    <t>D.解放区的合法地位得到承认</t>
    <phoneticPr fontId="1" type="noConversion"/>
  </si>
  <si>
    <t>154.对第三次国内革命战争反蒋斗争第二条战线的准确表述是（    ）</t>
    <phoneticPr fontId="1" type="noConversion"/>
  </si>
  <si>
    <t>A.国统区的示威运动</t>
    <phoneticPr fontId="1" type="noConversion"/>
  </si>
  <si>
    <t>B.国统区的工农运动</t>
    <phoneticPr fontId="1" type="noConversion"/>
  </si>
  <si>
    <t>C.国统区的地下斗争</t>
    <phoneticPr fontId="1" type="noConversion"/>
  </si>
  <si>
    <t>D.国统区的民主运动</t>
    <phoneticPr fontId="1" type="noConversion"/>
  </si>
  <si>
    <t>155.解放战争时期，最早与蒋介石集团决裂的民主党派是　（    ）</t>
    <phoneticPr fontId="1" type="noConversion"/>
  </si>
  <si>
    <t>B.民主建国会</t>
    <phoneticPr fontId="1" type="noConversion"/>
  </si>
  <si>
    <t>156.解放战争时期制定的《中国土地法大纲》规定　（    ）</t>
    <phoneticPr fontId="1" type="noConversion"/>
  </si>
  <si>
    <t>A.没收地主的土地</t>
    <phoneticPr fontId="1" type="noConversion"/>
  </si>
  <si>
    <t>B.调整减租减息政策</t>
    <phoneticPr fontId="1" type="noConversion"/>
  </si>
  <si>
    <t>C.按贫雇农人口分配土地</t>
    <phoneticPr fontId="1" type="noConversion"/>
  </si>
  <si>
    <t>D.废除土地私有制</t>
    <phoneticPr fontId="1" type="noConversion"/>
  </si>
  <si>
    <t>157.人民解放军基本上消灭国民党军队主力，为解放全中国奠定基础的重大军事战略行动是　（    ）</t>
    <phoneticPr fontId="1" type="noConversion"/>
  </si>
  <si>
    <t>A.粉碎国民党军队的全面进攻</t>
    <phoneticPr fontId="1" type="noConversion"/>
  </si>
  <si>
    <t>B.战略反攻</t>
    <phoneticPr fontId="1" type="noConversion"/>
  </si>
  <si>
    <t>C.战略决战</t>
    <phoneticPr fontId="1" type="noConversion"/>
  </si>
  <si>
    <t>D.渡江战役</t>
    <phoneticPr fontId="1" type="noConversion"/>
  </si>
  <si>
    <t>158.人民解放军西北野战军领导人是　（    ）</t>
    <phoneticPr fontId="1" type="noConversion"/>
  </si>
  <si>
    <t>B.许世友</t>
    <phoneticPr fontId="1" type="noConversion"/>
  </si>
  <si>
    <t>C.徐向前</t>
    <phoneticPr fontId="1" type="noConversion"/>
  </si>
  <si>
    <t>159.人民解放军晋察冀野战军领导人是　（    ）</t>
    <phoneticPr fontId="1" type="noConversion"/>
  </si>
  <si>
    <t>160.人民解放战争走向胜利的历史转折点是　（    ）</t>
    <phoneticPr fontId="1" type="noConversion"/>
  </si>
  <si>
    <t>A.粉碎重点进攻</t>
    <phoneticPr fontId="1" type="noConversion"/>
  </si>
  <si>
    <t>C.三大战役</t>
    <phoneticPr fontId="1" type="noConversion"/>
  </si>
  <si>
    <t>161.1947年提出“打倒蒋介石，解放全中国”口号的是　（    ）</t>
    <phoneticPr fontId="1" type="noConversion"/>
  </si>
  <si>
    <t>B.朱德</t>
    <phoneticPr fontId="1" type="noConversion"/>
  </si>
  <si>
    <t>C.解放军总部</t>
    <phoneticPr fontId="1" type="noConversion"/>
  </si>
  <si>
    <t>D.野战军总部</t>
    <phoneticPr fontId="1" type="noConversion"/>
  </si>
  <si>
    <t>162.保证农民在政治经济上翻身得解放，成为土地主人的法律法规是　（    ）</t>
    <phoneticPr fontId="1" type="noConversion"/>
  </si>
  <si>
    <t>A.《中华人民共和国宪法》</t>
    <phoneticPr fontId="1" type="noConversion"/>
  </si>
  <si>
    <t>B.《中华人民共和国土地改革法》</t>
    <phoneticPr fontId="1" type="noConversion"/>
  </si>
  <si>
    <t>C.《中华人民共和国刑法》</t>
    <phoneticPr fontId="1" type="noConversion"/>
  </si>
  <si>
    <t>D.《中华人民共和国民法通则》</t>
    <phoneticPr fontId="1" type="noConversion"/>
  </si>
  <si>
    <t>163.标志着全国领土基本得到解放，各民族实现了大团结的事件是　（    ）</t>
    <phoneticPr fontId="1" type="noConversion"/>
  </si>
  <si>
    <t>A.三大战役取得胜利</t>
    <phoneticPr fontId="1" type="noConversion"/>
  </si>
  <si>
    <t>B.渡江战役取得胜利</t>
    <phoneticPr fontId="1" type="noConversion"/>
  </si>
  <si>
    <t>C.中华人民共和国成立</t>
    <phoneticPr fontId="1" type="noConversion"/>
  </si>
  <si>
    <t>D.西藏和平解放</t>
    <phoneticPr fontId="1" type="noConversion"/>
  </si>
  <si>
    <t>164.抗日战争胜利后，美国实行扶蒋反共政策的根本目的是　（    ）</t>
    <phoneticPr fontId="1" type="noConversion"/>
  </si>
  <si>
    <t>A.进一步扩大对华资本输出</t>
    <phoneticPr fontId="1" type="noConversion"/>
  </si>
  <si>
    <t>B.在中国建立稳定统一的全国性政权</t>
    <phoneticPr fontId="1" type="noConversion"/>
  </si>
  <si>
    <t>C.控制中国，推行全球战略</t>
    <phoneticPr fontId="1" type="noConversion"/>
  </si>
  <si>
    <t>D.缓和美苏矛盾，划分势力范围</t>
    <phoneticPr fontId="1" type="noConversion"/>
  </si>
  <si>
    <t>165.1945年8月，《大公报》报道毛泽东来到重庆的消息时称：“爱好民主自由的人士都知道，这是维系中国目前及未来历史和人民幸福的一个喜讯。”这反映了“爱好民主自由的人士”期盼　（    ）</t>
    <phoneticPr fontId="1" type="noConversion"/>
  </si>
  <si>
    <t>A.国共双方和平协商，创建新中国</t>
    <phoneticPr fontId="1" type="noConversion"/>
  </si>
  <si>
    <t>B.国共双方消除隔阂，共同抗日</t>
    <phoneticPr fontId="1" type="noConversion"/>
  </si>
  <si>
    <t>C.共产党领导人民推翻国民党的统治</t>
    <phoneticPr fontId="1" type="noConversion"/>
  </si>
  <si>
    <t>D.共产党与民主党派合作建立新中国</t>
    <phoneticPr fontId="1" type="noConversion"/>
  </si>
  <si>
    <t>166.辽沈、淮海、平津三大战役进行的时间是　（    ）</t>
    <phoneticPr fontId="1" type="noConversion"/>
  </si>
  <si>
    <t>A.1947年12月——1949年2月</t>
    <phoneticPr fontId="1" type="noConversion"/>
  </si>
  <si>
    <t>B.1948年5月——1949年1月</t>
    <phoneticPr fontId="1" type="noConversion"/>
  </si>
  <si>
    <t>C.1948年6月——1949年8月</t>
    <phoneticPr fontId="1" type="noConversion"/>
  </si>
  <si>
    <t>D.1948年9月——1949年1月</t>
    <phoneticPr fontId="1" type="noConversion"/>
  </si>
  <si>
    <t>167.三大战役的胜利，最主要的战略意义在于　（    ）</t>
    <phoneticPr fontId="1" type="noConversion"/>
  </si>
  <si>
    <t>A.基本消灭了国民党军队的主力</t>
    <phoneticPr fontId="1" type="noConversion"/>
  </si>
  <si>
    <t>B.解放了北平</t>
    <phoneticPr fontId="1" type="noConversion"/>
  </si>
  <si>
    <t>C.直接威胁南京和武汉</t>
    <phoneticPr fontId="1" type="noConversion"/>
  </si>
  <si>
    <t>D.使华北、华东、东北解放区连成一片</t>
    <phoneticPr fontId="1" type="noConversion"/>
  </si>
  <si>
    <t>168.中共中央发出《五四指示》的全称是　（    ）</t>
    <phoneticPr fontId="1" type="noConversion"/>
  </si>
  <si>
    <t>A.《关于清算、减租及土地问题的指示》</t>
    <phoneticPr fontId="1" type="noConversion"/>
  </si>
  <si>
    <t>B.《关于目前形势与任务的指示》</t>
    <phoneticPr fontId="1" type="noConversion"/>
  </si>
  <si>
    <t>C.《关于工商业政策的指示》</t>
    <phoneticPr fontId="1" type="noConversion"/>
  </si>
  <si>
    <t>D.《关于土地改革和整党工作的指示》</t>
    <phoneticPr fontId="1" type="noConversion"/>
  </si>
  <si>
    <t>169.民盟领导人沈钧儒等在香港召开民盟一届三中全会，宣布不接受解散民盟的任何决定，并恢复民盟总部。这次会议，标志着民盟站到了新民主主义革命的立场上来。会议召开的时间是　（    ）</t>
    <phoneticPr fontId="1" type="noConversion"/>
  </si>
  <si>
    <t>A.1928年</t>
    <phoneticPr fontId="1" type="noConversion"/>
  </si>
  <si>
    <t>B.1938年</t>
    <phoneticPr fontId="1" type="noConversion"/>
  </si>
  <si>
    <t>C.1948年</t>
    <phoneticPr fontId="1" type="noConversion"/>
  </si>
  <si>
    <t>D.1958年</t>
    <phoneticPr fontId="1" type="noConversion"/>
  </si>
  <si>
    <t>170.中间道路的实质是　（    ）</t>
    <phoneticPr fontId="1" type="noConversion"/>
  </si>
  <si>
    <t>A.旧民主主义的道路</t>
    <phoneticPr fontId="1" type="noConversion"/>
  </si>
  <si>
    <t>B.新民主主义的道路</t>
    <phoneticPr fontId="1" type="noConversion"/>
  </si>
  <si>
    <t>C.代表大地主大官僚的利益</t>
    <phoneticPr fontId="1" type="noConversion"/>
  </si>
  <si>
    <t>D.新旧民主义道路之间</t>
    <phoneticPr fontId="1" type="noConversion"/>
  </si>
  <si>
    <t>171.中共中央发出《五四指示》决定实行的政策是　（    ）</t>
    <phoneticPr fontId="1" type="noConversion"/>
  </si>
  <si>
    <t>A.耕者有其田</t>
    <phoneticPr fontId="1" type="noConversion"/>
  </si>
  <si>
    <t>B.三三制</t>
    <phoneticPr fontId="1" type="noConversion"/>
  </si>
  <si>
    <t>C.减租减息</t>
    <phoneticPr fontId="1" type="noConversion"/>
  </si>
  <si>
    <t>D.和平赎买</t>
    <phoneticPr fontId="1" type="noConversion"/>
  </si>
  <si>
    <t>172.制定《中国土地法大纲》是在　（    ）</t>
    <phoneticPr fontId="1" type="noConversion"/>
  </si>
  <si>
    <t>A.平山县</t>
    <phoneticPr fontId="1" type="noConversion"/>
  </si>
  <si>
    <t>B.西柏坡</t>
    <phoneticPr fontId="1" type="noConversion"/>
  </si>
  <si>
    <t>C.洛川</t>
    <phoneticPr fontId="1" type="noConversion"/>
  </si>
  <si>
    <t>D.瓦窑堡</t>
    <phoneticPr fontId="1" type="noConversion"/>
  </si>
  <si>
    <t>173.反饥饿反内战反迫害运动史称　（    ）</t>
    <phoneticPr fontId="1" type="noConversion"/>
  </si>
  <si>
    <t>A.五二〇运动</t>
    <phoneticPr fontId="1" type="noConversion"/>
  </si>
  <si>
    <t>B.一二三〇运动</t>
    <phoneticPr fontId="1" type="noConversion"/>
  </si>
  <si>
    <t>C.一二九运动</t>
    <phoneticPr fontId="1" type="noConversion"/>
  </si>
  <si>
    <t>D.二二八运动</t>
    <phoneticPr fontId="1" type="noConversion"/>
  </si>
  <si>
    <t>174.二二八起义发生在　（    ）</t>
    <phoneticPr fontId="1" type="noConversion"/>
  </si>
  <si>
    <t>A.昆明</t>
    <phoneticPr fontId="1" type="noConversion"/>
  </si>
  <si>
    <t>C.南京</t>
    <phoneticPr fontId="1" type="noConversion"/>
  </si>
  <si>
    <t>D.台湾</t>
    <phoneticPr fontId="1" type="noConversion"/>
  </si>
  <si>
    <t>175.又称第三党的民主党派是　（    ）</t>
    <phoneticPr fontId="1" type="noConversion"/>
  </si>
  <si>
    <t>A.民建</t>
    <phoneticPr fontId="1" type="noConversion"/>
  </si>
  <si>
    <t>B.民进</t>
    <phoneticPr fontId="1" type="noConversion"/>
  </si>
  <si>
    <t>C.农工</t>
    <phoneticPr fontId="1" type="noConversion"/>
  </si>
  <si>
    <t>D.九三</t>
    <phoneticPr fontId="1" type="noConversion"/>
  </si>
  <si>
    <t>176.响应中共“五一”口号，民主人士发表了　（    ）</t>
    <phoneticPr fontId="1" type="noConversion"/>
  </si>
  <si>
    <t>A.《对时局的意见》</t>
    <phoneticPr fontId="1" type="noConversion"/>
  </si>
  <si>
    <t>B.《对时局的声明》</t>
    <phoneticPr fontId="1" type="noConversion"/>
  </si>
  <si>
    <t>C.《形势与任务》</t>
    <phoneticPr fontId="1" type="noConversion"/>
  </si>
  <si>
    <t>D.《目前形势与任务》</t>
    <phoneticPr fontId="1" type="noConversion"/>
  </si>
  <si>
    <t>A.辽沈战役</t>
    <phoneticPr fontId="1" type="noConversion"/>
  </si>
  <si>
    <t>B.平津战役</t>
    <phoneticPr fontId="1" type="noConversion"/>
  </si>
  <si>
    <t>A.湖口</t>
    <phoneticPr fontId="1" type="noConversion"/>
  </si>
  <si>
    <t>B.汉口</t>
    <phoneticPr fontId="1" type="noConversion"/>
  </si>
  <si>
    <t>C.宜昌</t>
    <phoneticPr fontId="1" type="noConversion"/>
  </si>
  <si>
    <t>D.宜宾</t>
    <phoneticPr fontId="1" type="noConversion"/>
  </si>
  <si>
    <t>A.七届二中</t>
    <phoneticPr fontId="1" type="noConversion"/>
  </si>
  <si>
    <t>B.七大</t>
    <phoneticPr fontId="1" type="noConversion"/>
  </si>
  <si>
    <t>C.六届四中</t>
    <phoneticPr fontId="1" type="noConversion"/>
  </si>
  <si>
    <t>D.六届六中</t>
    <phoneticPr fontId="1" type="noConversion"/>
  </si>
  <si>
    <t>A.从现在起，党的工作重心必须由乡村移到城市</t>
    <phoneticPr fontId="1" type="noConversion"/>
  </si>
  <si>
    <t>B.党的工作以恢复和发展生产为一切工作的中心</t>
    <phoneticPr fontId="1" type="noConversion"/>
  </si>
  <si>
    <t>C.要警惕资产阶级“糖衣炮弹”的袭击</t>
    <phoneticPr fontId="1" type="noConversion"/>
  </si>
  <si>
    <t>D.在农村实行减租减息政策</t>
    <phoneticPr fontId="1" type="noConversion"/>
  </si>
  <si>
    <t>181.《共同纲领》在新中国历史上具有重要地位，因为它（    ）</t>
    <phoneticPr fontId="1" type="noConversion"/>
  </si>
  <si>
    <t>180.毛泽东在中共七届二中全会上的报告内容不包括（    ）</t>
    <phoneticPr fontId="1" type="noConversion"/>
  </si>
  <si>
    <t>179.毛泽东告诫全党警惕糖衣炮弹的袭击是在（    ）</t>
    <phoneticPr fontId="1" type="noConversion"/>
  </si>
  <si>
    <t>178.渡江战役东起江阴，西至（    ）</t>
    <phoneticPr fontId="1" type="noConversion"/>
  </si>
  <si>
    <t>177.解放战争歼敌最多的是（    ）</t>
    <phoneticPr fontId="1" type="noConversion"/>
  </si>
  <si>
    <t>A.确立了国家性质</t>
    <phoneticPr fontId="1" type="noConversion"/>
  </si>
  <si>
    <t>B.确定了依法治国的方针</t>
    <phoneticPr fontId="1" type="noConversion"/>
  </si>
  <si>
    <t>C.由全国人民代表大会制定</t>
    <phoneticPr fontId="1" type="noConversion"/>
  </si>
  <si>
    <t>D.规定了社会主义建设的总目标</t>
    <phoneticPr fontId="1" type="noConversion"/>
  </si>
  <si>
    <t>B.渡江战役</t>
    <phoneticPr fontId="1" type="noConversion"/>
  </si>
  <si>
    <t>C.平津战役</t>
    <phoneticPr fontId="1" type="noConversion"/>
  </si>
  <si>
    <t>D.淮海战役</t>
    <phoneticPr fontId="1" type="noConversion"/>
  </si>
  <si>
    <t>183.毛泽东提出“两个务必”的会议是（    ）</t>
    <phoneticPr fontId="1" type="noConversion"/>
  </si>
  <si>
    <t>182.解放战争时期，由刘伯承、陈毅、邓小平指挥的，为解放长江以北各省奠定基础的战役是（    ）</t>
    <phoneticPr fontId="1" type="noConversion"/>
  </si>
  <si>
    <t>A.中共七大</t>
    <phoneticPr fontId="1" type="noConversion"/>
  </si>
  <si>
    <t>B.中共八大</t>
    <phoneticPr fontId="1" type="noConversion"/>
  </si>
  <si>
    <t>C.中共七届二中全会</t>
    <phoneticPr fontId="1" type="noConversion"/>
  </si>
  <si>
    <t>D.中共七届三中全会</t>
    <phoneticPr fontId="1" type="noConversion"/>
  </si>
  <si>
    <t>184.允许葡萄牙人“永久管理澳门”的近代不平等条约是（    ）</t>
    <phoneticPr fontId="1" type="noConversion"/>
  </si>
  <si>
    <t>A.《北京条约》</t>
    <phoneticPr fontId="1" type="noConversion"/>
  </si>
  <si>
    <t>B.《辛丑条约》</t>
    <phoneticPr fontId="1" type="noConversion"/>
  </si>
  <si>
    <t>C.《中葡和好通商条约》</t>
    <phoneticPr fontId="1" type="noConversion"/>
  </si>
  <si>
    <t>D.《黄埔条约》</t>
    <phoneticPr fontId="1" type="noConversion"/>
  </si>
  <si>
    <t>185.外国军队有权在北京使馆区和北京至大沽、山海关一线包括天津、唐山等12处“留兵驻守”的近代不平等条约是（    ）</t>
    <phoneticPr fontId="1" type="noConversion"/>
  </si>
  <si>
    <t>A.《马关条约》</t>
    <phoneticPr fontId="1" type="noConversion"/>
  </si>
  <si>
    <t>C.《勘分西北界约记》</t>
    <phoneticPr fontId="1" type="noConversion"/>
  </si>
  <si>
    <t>D.《北京条约》</t>
    <phoneticPr fontId="1" type="noConversion"/>
  </si>
  <si>
    <t>186.允许外国公使常驻北京的近代不平等条约是（    ）</t>
    <phoneticPr fontId="1" type="noConversion"/>
  </si>
  <si>
    <t>B.《南京条约》</t>
    <phoneticPr fontId="1" type="noConversion"/>
  </si>
  <si>
    <t>C.《天津条约》</t>
    <phoneticPr fontId="1" type="noConversion"/>
  </si>
  <si>
    <t>D.《马关条约》</t>
    <phoneticPr fontId="1" type="noConversion"/>
  </si>
  <si>
    <t>187.中国近代史上人民第一次大规模的反侵略武装斗争是（    ）</t>
    <phoneticPr fontId="1" type="noConversion"/>
  </si>
  <si>
    <t>A.太平天国运动</t>
    <phoneticPr fontId="1" type="noConversion"/>
  </si>
  <si>
    <t>B.虎门销烟</t>
    <phoneticPr fontId="1" type="noConversion"/>
  </si>
  <si>
    <t>C.三元里抗英</t>
    <phoneticPr fontId="1" type="noConversion"/>
  </si>
  <si>
    <t>188.甲午战争中爆发的黄海海战，邓世昌英勇殉国，他是哪一舰船的管带（舰长）（    ）</t>
    <phoneticPr fontId="1" type="noConversion"/>
  </si>
  <si>
    <t>A.济远舰</t>
    <phoneticPr fontId="1" type="noConversion"/>
  </si>
  <si>
    <t>B.定远舰</t>
    <phoneticPr fontId="1" type="noConversion"/>
  </si>
  <si>
    <t>C.靖远舰</t>
    <phoneticPr fontId="1" type="noConversion"/>
  </si>
  <si>
    <t>D.致远舰</t>
    <phoneticPr fontId="1" type="noConversion"/>
  </si>
  <si>
    <t>189.19世纪70至80年代，列强从侵占中国周边邻国发展到蚕食中国边疆地区，使中国陷入“边疆危机”之中。以下列强与所入侵的地区对应错误的是（    ）</t>
    <phoneticPr fontId="1" type="noConversion"/>
  </si>
  <si>
    <t>A.英国-西藏</t>
    <phoneticPr fontId="1" type="noConversion"/>
  </si>
  <si>
    <t>B.日本-广东</t>
    <phoneticPr fontId="1" type="noConversion"/>
  </si>
  <si>
    <t>C.俄国-新疆</t>
    <phoneticPr fontId="1" type="noConversion"/>
  </si>
  <si>
    <t>D.法国-广西</t>
    <phoneticPr fontId="1" type="noConversion"/>
  </si>
  <si>
    <t>191.最早提出大力发展民族工商业，同西方国家进行“商战”，设立议院，实行“君民共主”制度等思想的是近代哪位早期维新思想家（    ）</t>
    <phoneticPr fontId="1" type="noConversion"/>
  </si>
  <si>
    <t>A.王韬</t>
    <phoneticPr fontId="1" type="noConversion"/>
  </si>
  <si>
    <t>B.马建忠</t>
    <phoneticPr fontId="1" type="noConversion"/>
  </si>
  <si>
    <t>C.魏源</t>
    <phoneticPr fontId="1" type="noConversion"/>
  </si>
  <si>
    <t>D.郑观应</t>
    <phoneticPr fontId="1" type="noConversion"/>
  </si>
  <si>
    <t>192.近代著名学者、翻译家严复，其翻译的《天演论》中“物竞天择、适者生存”一语对中国近代社会产生深远影响，以下哪部著作不是严复翻译（    ）</t>
    <phoneticPr fontId="1" type="noConversion"/>
  </si>
  <si>
    <t>A.《群己权界论》</t>
    <phoneticPr fontId="1" type="noConversion"/>
  </si>
  <si>
    <t>B.《法意》</t>
    <phoneticPr fontId="1" type="noConversion"/>
  </si>
  <si>
    <t>C.《原富》</t>
    <phoneticPr fontId="1" type="noConversion"/>
  </si>
  <si>
    <t>D.《世界地理大全》</t>
    <phoneticPr fontId="1" type="noConversion"/>
  </si>
  <si>
    <t>193.对洋务派兴办洋务事业的指导思想最先作出比较完整表述的是哪位思想家（    ）</t>
    <phoneticPr fontId="1" type="noConversion"/>
  </si>
  <si>
    <t>A.张之洞</t>
    <phoneticPr fontId="1" type="noConversion"/>
  </si>
  <si>
    <t>B.冯桂芬</t>
    <phoneticPr fontId="1" type="noConversion"/>
  </si>
  <si>
    <t>C.严复</t>
    <phoneticPr fontId="1" type="noConversion"/>
  </si>
  <si>
    <t>D.曾国藩</t>
    <phoneticPr fontId="1" type="noConversion"/>
  </si>
  <si>
    <t>194.洋务派首先兴起军用工业，其中官方创办有多家较大的企业。以下创办人与企业对应不正确的是（    ）</t>
    <phoneticPr fontId="1" type="noConversion"/>
  </si>
  <si>
    <t>A.曾国藩、李鸿章—上海江南制造总局</t>
    <phoneticPr fontId="1" type="noConversion"/>
  </si>
  <si>
    <t>B.曾国藩—金陵机器局</t>
    <phoneticPr fontId="1" type="noConversion"/>
  </si>
  <si>
    <t>C.左宗棠—福州船政局</t>
    <phoneticPr fontId="1" type="noConversion"/>
  </si>
  <si>
    <t>D.崇厚—天津机器局</t>
    <phoneticPr fontId="1" type="noConversion"/>
  </si>
  <si>
    <t>195.洋务派创办的新式学堂不包括以下哪一个（    ）</t>
    <phoneticPr fontId="1" type="noConversion"/>
  </si>
  <si>
    <t>A.翻译学堂</t>
    <phoneticPr fontId="1" type="noConversion"/>
  </si>
  <si>
    <t>B.工艺学堂</t>
    <phoneticPr fontId="1" type="noConversion"/>
  </si>
  <si>
    <t>C.政法学堂</t>
    <phoneticPr fontId="1" type="noConversion"/>
  </si>
  <si>
    <t>D.军事学堂</t>
    <phoneticPr fontId="1" type="noConversion"/>
  </si>
  <si>
    <t>196.标志着帝国主义列强完全控制清政府的不平等条约是（    ）</t>
    <phoneticPr fontId="1" type="noConversion"/>
  </si>
  <si>
    <t>B.《天津条约》</t>
    <phoneticPr fontId="1" type="noConversion"/>
  </si>
  <si>
    <t>C.《辛丑条约》</t>
    <phoneticPr fontId="1" type="noConversion"/>
  </si>
  <si>
    <t>197.1860年洗劫和烧毁圆明园的侵略者是（    ）</t>
    <phoneticPr fontId="1" type="noConversion"/>
  </si>
  <si>
    <t>A.德军</t>
    <phoneticPr fontId="1" type="noConversion"/>
  </si>
  <si>
    <t>B.日军</t>
    <phoneticPr fontId="1" type="noConversion"/>
  </si>
  <si>
    <t>C.八国联军</t>
    <phoneticPr fontId="1" type="noConversion"/>
  </si>
  <si>
    <t>D.英法联军</t>
    <phoneticPr fontId="1" type="noConversion"/>
  </si>
  <si>
    <t>198.近代中国第一位系统介绍西方资产阶级文化的启蒙思想家是（    ）</t>
    <phoneticPr fontId="1" type="noConversion"/>
  </si>
  <si>
    <t>A.陈天华</t>
    <phoneticPr fontId="1" type="noConversion"/>
  </si>
  <si>
    <t>B.陈独秀</t>
    <phoneticPr fontId="1" type="noConversion"/>
  </si>
  <si>
    <t>D.章炳麟</t>
    <phoneticPr fontId="1" type="noConversion"/>
  </si>
  <si>
    <t>199.中国近代化的起点是（    ）</t>
    <phoneticPr fontId="1" type="noConversion"/>
  </si>
  <si>
    <t>A.洋务运动</t>
    <phoneticPr fontId="1" type="noConversion"/>
  </si>
  <si>
    <t>B.辛亥革命</t>
    <phoneticPr fontId="1" type="noConversion"/>
  </si>
  <si>
    <t>C.五四运动</t>
    <phoneticPr fontId="1" type="noConversion"/>
  </si>
  <si>
    <t>D.中华人民共和国的成立</t>
    <phoneticPr fontId="1" type="noConversion"/>
  </si>
  <si>
    <t>A.三元里人民斗争</t>
    <phoneticPr fontId="1" type="noConversion"/>
  </si>
  <si>
    <t>B.太平天国农民运动</t>
    <phoneticPr fontId="1" type="noConversion"/>
  </si>
  <si>
    <t>C.义和团运动</t>
    <phoneticPr fontId="1" type="noConversion"/>
  </si>
  <si>
    <t>D.辛亥革命</t>
    <phoneticPr fontId="1" type="noConversion"/>
  </si>
  <si>
    <t>320.中国民主革命的基本问题（    ）</t>
    <phoneticPr fontId="1" type="noConversion"/>
  </si>
  <si>
    <t>A.武装斗争问题</t>
    <phoneticPr fontId="1" type="noConversion"/>
  </si>
  <si>
    <t>B.党的建设问题</t>
    <phoneticPr fontId="1" type="noConversion"/>
  </si>
  <si>
    <t>C.统一战线问题</t>
    <phoneticPr fontId="1" type="noConversion"/>
  </si>
  <si>
    <t>D.农民问题</t>
    <phoneticPr fontId="1" type="noConversion"/>
  </si>
  <si>
    <t>321.1927年“八七”会议上，中共提出了开展土地革命的方针（    ）</t>
    <phoneticPr fontId="1" type="noConversion"/>
  </si>
  <si>
    <t>A.这表明中共决定将工作重心转移到农村</t>
    <phoneticPr fontId="1" type="noConversion"/>
  </si>
  <si>
    <t>B.主要是为了配合夺取大城市的武装起义</t>
    <phoneticPr fontId="1" type="noConversion"/>
  </si>
  <si>
    <t>C.这是毛泽东人民战争路线的正确反映</t>
    <phoneticPr fontId="1" type="noConversion"/>
  </si>
  <si>
    <t>D.是中共独立开创夺取革命胜利道路的开端</t>
    <phoneticPr fontId="1" type="noConversion"/>
  </si>
  <si>
    <t>322.从1927年到1930年上半年，中国共产党领导的农村革命根据地和红军得到了迅速发展，其根本措施是（    ）</t>
    <phoneticPr fontId="1" type="noConversion"/>
  </si>
  <si>
    <t>A.肃清右倾投降主义路线</t>
    <phoneticPr fontId="1" type="noConversion"/>
  </si>
  <si>
    <t>B.工农武装割据波浪式推向全国</t>
    <phoneticPr fontId="1" type="noConversion"/>
  </si>
  <si>
    <t>C.纠正“左”倾军事冒险计划</t>
    <phoneticPr fontId="1" type="noConversion"/>
  </si>
  <si>
    <t>D.开展“打土豪、分田地”的土地革命</t>
    <phoneticPr fontId="1" type="noConversion"/>
  </si>
  <si>
    <t>323.第二次国内革命战争时期，中国共产党领导的土地革命取得胜利的根本保证是（    ）</t>
    <phoneticPr fontId="1" type="noConversion"/>
  </si>
  <si>
    <t>A.制定了正确的土地革命路线</t>
    <phoneticPr fontId="1" type="noConversion"/>
  </si>
  <si>
    <t>B.调动了一切反封建的因素</t>
    <phoneticPr fontId="1" type="noConversion"/>
  </si>
  <si>
    <t>C.得到了广大农民的拥护</t>
    <phoneticPr fontId="1" type="noConversion"/>
  </si>
  <si>
    <t>D.消灭了土地私有制</t>
    <phoneticPr fontId="1" type="noConversion"/>
  </si>
  <si>
    <t>324.1927年南昌起义的最大意义在于（    ）</t>
    <phoneticPr fontId="1" type="noConversion"/>
  </si>
  <si>
    <t>A.开始与国民党反动派武装对抗</t>
    <phoneticPr fontId="1" type="noConversion"/>
  </si>
  <si>
    <t>B.确立党对军队的绝对领导</t>
    <phoneticPr fontId="1" type="noConversion"/>
  </si>
  <si>
    <t>C.建立了第一个无产阶级革命政权</t>
    <phoneticPr fontId="1" type="noConversion"/>
  </si>
  <si>
    <t>D.开创了“工农武装割据”的革命道路</t>
    <phoneticPr fontId="1" type="noConversion"/>
  </si>
  <si>
    <t>325.南昌起义、秋收起义、广州起义中得出的深刻教训是（    ）</t>
    <phoneticPr fontId="1" type="noConversion"/>
  </si>
  <si>
    <t>A.必须武装反抗国民党反动派</t>
    <phoneticPr fontId="1" type="noConversion"/>
  </si>
  <si>
    <t>B.必须建立党对军队的绝对领导</t>
    <phoneticPr fontId="1" type="noConversion"/>
  </si>
  <si>
    <t>C.必须建立新型的人民军队</t>
    <phoneticPr fontId="1" type="noConversion"/>
  </si>
  <si>
    <t>D.走适合中国国情的革命道路</t>
    <phoneticPr fontId="1" type="noConversion"/>
  </si>
  <si>
    <t>326.下列事件中，没有共产国际代表直接参与的是（    ）</t>
    <phoneticPr fontId="1" type="noConversion"/>
  </si>
  <si>
    <t>A.中国共产党成立</t>
    <phoneticPr fontId="1" type="noConversion"/>
  </si>
  <si>
    <t>B.红军第五次反“围剿”</t>
    <phoneticPr fontId="1" type="noConversion"/>
  </si>
  <si>
    <t>C.南昌起义</t>
    <phoneticPr fontId="1" type="noConversion"/>
  </si>
  <si>
    <t>327.“共产党现时最主要的任务是有系统地有计划地尽可能在广大区域中准备农民总暴动”“工人阶级应时刻领导并参加武装暴动。”上述中国共产党“八七”会议决议表明（    ）</t>
    <phoneticPr fontId="1" type="noConversion"/>
  </si>
  <si>
    <t>A.中国共产党的工作重心由城市转入农村</t>
    <phoneticPr fontId="1" type="noConversion"/>
  </si>
  <si>
    <t>B.中国共产党正式确立了工人阶级的领导地位</t>
    <phoneticPr fontId="1" type="noConversion"/>
  </si>
  <si>
    <t>C.中国共产党确定了武装反抗国民党的方针</t>
    <phoneticPr fontId="1" type="noConversion"/>
  </si>
  <si>
    <t>D.中国共产党的思想理论基础发生了根本变化</t>
    <phoneticPr fontId="1" type="noConversion"/>
  </si>
  <si>
    <t>328.较之南昌起义，1927年湘赣边界秋收起义最明显的特征是（    ）</t>
    <phoneticPr fontId="1" type="noConversion"/>
  </si>
  <si>
    <t>A.不再用国民革命军的名义，而公开打出了工农革命军的旗帜</t>
    <phoneticPr fontId="1" type="noConversion"/>
  </si>
  <si>
    <t>B.不以攻打中心城市为目标，而以建立农村根据地为目标</t>
    <phoneticPr fontId="1" type="noConversion"/>
  </si>
  <si>
    <t>C.不仅是共产党创建人民军队的开端，而且揭开了土地革命战争的序幕</t>
    <phoneticPr fontId="1" type="noConversion"/>
  </si>
  <si>
    <t>D.不再由国共两党合作领导，而是由共产党独立领导</t>
    <phoneticPr fontId="1" type="noConversion"/>
  </si>
  <si>
    <t>200.中国近代历史上第一次反对国内封建势力和外国侵略势力的斗争是（    ）</t>
    <phoneticPr fontId="1" type="noConversion"/>
  </si>
  <si>
    <t>201.近代中国海关管理权丧失的标志是（    ）</t>
    <phoneticPr fontId="1" type="noConversion"/>
  </si>
  <si>
    <t>A.《南京条约》规定“协定关税”</t>
    <phoneticPr fontId="1" type="noConversion"/>
  </si>
  <si>
    <t>B.开放广州、厦门、福州、宁波、上海五个通商口岸</t>
    <phoneticPr fontId="1" type="noConversion"/>
  </si>
  <si>
    <t>C.海关总税务司的设置</t>
    <phoneticPr fontId="1" type="noConversion"/>
  </si>
  <si>
    <t>D.中日马关条约的签订</t>
    <phoneticPr fontId="1" type="noConversion"/>
  </si>
  <si>
    <t>202.帝国主义瓜分中国图谋最终失败的根本原因是（    ）</t>
    <phoneticPr fontId="1" type="noConversion"/>
  </si>
  <si>
    <t>A.帝国主义列强之间的矛盾和利益冲突</t>
    <phoneticPr fontId="1" type="noConversion"/>
  </si>
  <si>
    <t>B.洋务运动后清政府武装力量的增强</t>
    <phoneticPr fontId="1" type="noConversion"/>
  </si>
  <si>
    <t>C.帝国主义放松了对中国的侵略</t>
    <phoneticPr fontId="1" type="noConversion"/>
  </si>
  <si>
    <t>D.义和团反帝爱国运动等中华民族的不屈不挠的反侵略斗争</t>
    <phoneticPr fontId="1" type="noConversion"/>
  </si>
  <si>
    <t>203.“树立了中国应向外国的长处学习的新世界观念”是哪部著作（    ）</t>
    <phoneticPr fontId="1" type="noConversion"/>
  </si>
  <si>
    <t>A.《四洲志》</t>
    <phoneticPr fontId="1" type="noConversion"/>
  </si>
  <si>
    <t>C.《地理大全》</t>
    <phoneticPr fontId="1" type="noConversion"/>
  </si>
  <si>
    <t>D.《盛世危言》</t>
    <phoneticPr fontId="1" type="noConversion"/>
  </si>
  <si>
    <t xml:space="preserve">204.洋务运动的指导思想是“中体西用”，最早提出这一思想的是（    ） </t>
    <phoneticPr fontId="1" type="noConversion"/>
  </si>
  <si>
    <t>.A.郑观应《盛世危言》</t>
    <phoneticPr fontId="1" type="noConversion"/>
  </si>
  <si>
    <t>B.魏源《海国图志》</t>
    <phoneticPr fontId="1" type="noConversion"/>
  </si>
  <si>
    <t>C.冯桂芬《校邠庐抗议》</t>
    <phoneticPr fontId="1" type="noConversion"/>
  </si>
  <si>
    <t>D.王韬《弢园文录外编》</t>
    <phoneticPr fontId="1" type="noConversion"/>
  </si>
  <si>
    <t>205.太平天国运动与洋务运动、维新运动的共同点是（    ）</t>
    <phoneticPr fontId="1" type="noConversion"/>
  </si>
  <si>
    <t>A.坚决反帝的姿态</t>
    <phoneticPr fontId="1" type="noConversion"/>
  </si>
  <si>
    <t>B.坚决反封建的姿态</t>
    <phoneticPr fontId="1" type="noConversion"/>
  </si>
  <si>
    <t>C.以救亡图存为目的</t>
    <phoneticPr fontId="1" type="noConversion"/>
  </si>
  <si>
    <t>D.代表先进的生产力</t>
    <phoneticPr fontId="1" type="noConversion"/>
  </si>
  <si>
    <t>206.毛泽东所说的中国民族资产阶级“从娘肚子里带出来的老毛病”是指（    ）</t>
    <phoneticPr fontId="1" type="noConversion"/>
  </si>
  <si>
    <t>A.软弱性</t>
    <phoneticPr fontId="1" type="noConversion"/>
  </si>
  <si>
    <t>B.妥协性</t>
    <phoneticPr fontId="1" type="noConversion"/>
  </si>
  <si>
    <t>C.动摇性</t>
    <phoneticPr fontId="1" type="noConversion"/>
  </si>
  <si>
    <t>D.两面性</t>
    <phoneticPr fontId="1" type="noConversion"/>
  </si>
  <si>
    <t>207.鸦片战争前及战后初期，在中英正当贸易中，中国处于出超地位。其主要原因是：（    ）</t>
    <phoneticPr fontId="1" type="noConversion"/>
  </si>
  <si>
    <t>A.自然经济对外来商品的抵制作用</t>
    <phoneticPr fontId="1" type="noConversion"/>
  </si>
  <si>
    <t>B.闭关政策使中国市场不易受外国商品冲击</t>
    <phoneticPr fontId="1" type="noConversion"/>
  </si>
  <si>
    <t>C.中国手工业品质地优良</t>
    <phoneticPr fontId="1" type="noConversion"/>
  </si>
  <si>
    <t>D.英国鸦片贸易规模很小</t>
    <phoneticPr fontId="1" type="noConversion"/>
  </si>
  <si>
    <t>208.鸦片战争发生的根本原因是：（    ）</t>
    <phoneticPr fontId="1" type="noConversion"/>
  </si>
  <si>
    <t>A.清政府坚持闭关守国政策</t>
    <phoneticPr fontId="1" type="noConversion"/>
  </si>
  <si>
    <t>B.中国禁烟运动获得伟大胜利</t>
    <phoneticPr fontId="1" type="noConversion"/>
  </si>
  <si>
    <t>C.英国要求进一步打开中国市场</t>
    <phoneticPr fontId="1" type="noConversion"/>
  </si>
  <si>
    <t>D.英国工业革命后急需扩大海外市场</t>
    <phoneticPr fontId="1" type="noConversion"/>
  </si>
  <si>
    <t>209.近代中国以鸦片战争为开端，主要是因为：（    ）</t>
    <phoneticPr fontId="1" type="noConversion"/>
  </si>
  <si>
    <t>A.长期闭关锁国状态被打破</t>
    <phoneticPr fontId="1" type="noConversion"/>
  </si>
  <si>
    <t>B.中国第一次被西方打败</t>
    <phoneticPr fontId="1" type="noConversion"/>
  </si>
  <si>
    <t>C.民族矛盾取代了阶级矛盾</t>
    <phoneticPr fontId="1" type="noConversion"/>
  </si>
  <si>
    <t>D.社会性质开始发生根本变化</t>
    <phoneticPr fontId="1" type="noConversion"/>
  </si>
  <si>
    <t>210.下列关于近代中国社会主要矛盾的表述，不正确的是：（    ）</t>
    <phoneticPr fontId="1" type="noConversion"/>
  </si>
  <si>
    <t>A.是由近代中国社会性质决定的</t>
    <phoneticPr fontId="1" type="noConversion"/>
  </si>
  <si>
    <t>B.主要矛盾有两对</t>
    <phoneticPr fontId="1" type="noConversion"/>
  </si>
  <si>
    <t>C.决定了中国革命的双重任务</t>
    <phoneticPr fontId="1" type="noConversion"/>
  </si>
  <si>
    <t>D.中外矛盾自始至终占主导地位</t>
    <phoneticPr fontId="1" type="noConversion"/>
  </si>
  <si>
    <t>211.鸦片战争后，中国茶、丝出口量大增。这一现象说明的实质是：（    ）</t>
    <phoneticPr fontId="1" type="noConversion"/>
  </si>
  <si>
    <t>A.中国的茶、丝生产日益商品化</t>
    <phoneticPr fontId="1" type="noConversion"/>
  </si>
  <si>
    <t>B.中国茶、丝生产量非常大</t>
    <phoneticPr fontId="1" type="noConversion"/>
  </si>
  <si>
    <t>C.自然经济解体</t>
    <phoneticPr fontId="1" type="noConversion"/>
  </si>
  <si>
    <t>D.中国经济逐渐卷入世界资本主义市场</t>
    <phoneticPr fontId="1" type="noConversion"/>
  </si>
  <si>
    <t>A.①②③④</t>
    <phoneticPr fontId="1" type="noConversion"/>
  </si>
  <si>
    <t>B.①③④</t>
    <phoneticPr fontId="1" type="noConversion"/>
  </si>
  <si>
    <t>C.②③④</t>
    <phoneticPr fontId="1" type="noConversion"/>
  </si>
  <si>
    <t>D.①②③</t>
    <phoneticPr fontId="1" type="noConversion"/>
  </si>
  <si>
    <t>213.近代史上清政府被迫同意在台湾开放通商口岸是在：（    ）</t>
    <phoneticPr fontId="1" type="noConversion"/>
  </si>
  <si>
    <t>A.鸦片战争中</t>
    <phoneticPr fontId="1" type="noConversion"/>
  </si>
  <si>
    <t>B.第二次鸦片战争中</t>
    <phoneticPr fontId="1" type="noConversion"/>
  </si>
  <si>
    <t>C.中法战争中</t>
    <phoneticPr fontId="1" type="noConversion"/>
  </si>
  <si>
    <t>A.A.①③</t>
    <phoneticPr fontId="1" type="noConversion"/>
  </si>
  <si>
    <t>C.①②③④</t>
    <phoneticPr fontId="1" type="noConversion"/>
  </si>
  <si>
    <t>D.②④</t>
    <phoneticPr fontId="1" type="noConversion"/>
  </si>
  <si>
    <t>215.在向西方学习的问题上，《资政新篇》和《海国图志》的主要区别在于：（    ）</t>
    <phoneticPr fontId="1" type="noConversion"/>
  </si>
  <si>
    <t>A.是否学习西方的先进技术</t>
    <phoneticPr fontId="1" type="noConversion"/>
  </si>
  <si>
    <t>B.是否要抵御外来的侵略</t>
    <phoneticPr fontId="1" type="noConversion"/>
  </si>
  <si>
    <t>C.是否要求实现国家的富强</t>
    <phoneticPr fontId="1" type="noConversion"/>
  </si>
  <si>
    <t>D.是否要求发展资本主义</t>
    <phoneticPr fontId="1" type="noConversion"/>
  </si>
  <si>
    <t>A.①②③</t>
    <phoneticPr fontId="1" type="noConversion"/>
  </si>
  <si>
    <t>B.②③④</t>
    <phoneticPr fontId="1" type="noConversion"/>
  </si>
  <si>
    <t>C.①③</t>
    <phoneticPr fontId="1" type="noConversion"/>
  </si>
  <si>
    <t>217.英国在《南京条约》中取得的侵略权益对以后的中国民族资本主义工业造成最大危害的是：（    ）</t>
    <phoneticPr fontId="1" type="noConversion"/>
  </si>
  <si>
    <t>A.割香港岛</t>
    <phoneticPr fontId="1" type="noConversion"/>
  </si>
  <si>
    <t>B.赔款2100万银元</t>
    <phoneticPr fontId="1" type="noConversion"/>
  </si>
  <si>
    <t>C.五口通商</t>
    <phoneticPr fontId="1" type="noConversion"/>
  </si>
  <si>
    <t>D.协定关税</t>
    <phoneticPr fontId="1" type="noConversion"/>
  </si>
  <si>
    <t>218.鸦片战争后，上海作为新兴的近代化港口城市迅速崛起，其主要原因是：（    ）</t>
    <phoneticPr fontId="1" type="noConversion"/>
  </si>
  <si>
    <t>A.帝国主义侵略的结果</t>
    <phoneticPr fontId="1" type="noConversion"/>
  </si>
  <si>
    <t>B.外国资本涌入的结果</t>
    <phoneticPr fontId="1" type="noConversion"/>
  </si>
  <si>
    <t>C.半殖民地半封建经济畸形发展的结果</t>
    <phoneticPr fontId="1" type="noConversion"/>
  </si>
  <si>
    <t>D.民族资本主义发展的结果</t>
    <phoneticPr fontId="1" type="noConversion"/>
  </si>
  <si>
    <t>A.反封建反侵略的农民运动</t>
    <phoneticPr fontId="1" type="noConversion"/>
  </si>
  <si>
    <t>B.农民自发的反帝爱国运动</t>
    <phoneticPr fontId="1" type="noConversion"/>
  </si>
  <si>
    <t>C.资产阶级性质的反封建斗争</t>
    <phoneticPr fontId="1" type="noConversion"/>
  </si>
  <si>
    <t>D.中国旧民主主义革命的典范</t>
    <phoneticPr fontId="1" type="noConversion"/>
  </si>
  <si>
    <t>220.19世纪60年代以后，资本主义对中国的经济侵略加剧，其原因不包括：（    ）</t>
    <phoneticPr fontId="1" type="noConversion"/>
  </si>
  <si>
    <t>A.第二次鸦片战争，清政府战败</t>
    <phoneticPr fontId="1" type="noConversion"/>
  </si>
  <si>
    <t>B.总理衙门的建立</t>
    <phoneticPr fontId="1" type="noConversion"/>
  </si>
  <si>
    <t>C.洋务运动的兴起</t>
    <phoneticPr fontId="1" type="noConversion"/>
  </si>
  <si>
    <t>D.英国人直接控制中国海关</t>
    <phoneticPr fontId="1" type="noConversion"/>
  </si>
  <si>
    <t>221.下列关于19世纪60年代到90年代中国经济状况的表述，不正确的是：（    ）</t>
    <phoneticPr fontId="1" type="noConversion"/>
  </si>
  <si>
    <t>A.外国经济侵略手段主要是倾销商品和掠夺原料</t>
    <phoneticPr fontId="1" type="noConversion"/>
  </si>
  <si>
    <t>B.中国的丝、茶等出口量增加</t>
    <phoneticPr fontId="1" type="noConversion"/>
  </si>
  <si>
    <t>C.中国的贸易出超额呈增长趋势</t>
    <phoneticPr fontId="1" type="noConversion"/>
  </si>
  <si>
    <t>D.农产品商品化、农民和手工业者大批破产</t>
    <phoneticPr fontId="1" type="noConversion"/>
  </si>
  <si>
    <t>222.下列各项与外国侵略者控制中国海关所造成的影响无关的是：（    ）</t>
    <phoneticPr fontId="1" type="noConversion"/>
  </si>
  <si>
    <t>A.使中国经济日益从属于西方</t>
    <phoneticPr fontId="1" type="noConversion"/>
  </si>
  <si>
    <t>B.使中国的关税自主权开始丧失</t>
    <phoneticPr fontId="1" type="noConversion"/>
  </si>
  <si>
    <t>C.加速了中国旧经济结构的解体</t>
    <phoneticPr fontId="1" type="noConversion"/>
  </si>
  <si>
    <t>D.使中国海关丧失保护民族工业的作用</t>
    <phoneticPr fontId="1" type="noConversion"/>
  </si>
  <si>
    <t>223.清政府从传统的“理藩”向近代外交转变的标志是：（    ）</t>
    <phoneticPr fontId="1" type="noConversion"/>
  </si>
  <si>
    <t>A.1861年的辛酉政变</t>
    <phoneticPr fontId="1" type="noConversion"/>
  </si>
  <si>
    <t>C.洋务运动的开始</t>
    <phoneticPr fontId="1" type="noConversion"/>
  </si>
  <si>
    <t>D.清政府设外务部</t>
    <phoneticPr fontId="1" type="noConversion"/>
  </si>
  <si>
    <t>A.①②</t>
    <phoneticPr fontId="1" type="noConversion"/>
  </si>
  <si>
    <t>B.①②④</t>
    <phoneticPr fontId="1" type="noConversion"/>
  </si>
  <si>
    <t>C.③④</t>
    <phoneticPr fontId="1" type="noConversion"/>
  </si>
  <si>
    <t>D.①②③④</t>
    <phoneticPr fontId="1" type="noConversion"/>
  </si>
  <si>
    <t>225.洋务运动欲“自强”而不强，从根本上说是因为：（    ）</t>
    <phoneticPr fontId="1" type="noConversion"/>
  </si>
  <si>
    <t>A.未坚决反对列强侵略</t>
    <phoneticPr fontId="1" type="noConversion"/>
  </si>
  <si>
    <t>B.未从根本上触动封建生产关系</t>
    <phoneticPr fontId="1" type="noConversion"/>
  </si>
  <si>
    <t>C.用封建方式经营近代工业</t>
    <phoneticPr fontId="1" type="noConversion"/>
  </si>
  <si>
    <t>D.顽固派的破坏与阻挠</t>
    <phoneticPr fontId="1" type="noConversion"/>
  </si>
  <si>
    <t>226.中国早期民族资本主义工业大都集中在沿海，直接原因是沿海地区：（    ）</t>
    <phoneticPr fontId="1" type="noConversion"/>
  </si>
  <si>
    <t>A.经济条件好，交通便利</t>
    <phoneticPr fontId="1" type="noConversion"/>
  </si>
  <si>
    <t>B.手工业发达，思想开放</t>
    <phoneticPr fontId="1" type="noConversion"/>
  </si>
  <si>
    <t>C.外商企业最早出现在这里</t>
    <phoneticPr fontId="1" type="noConversion"/>
  </si>
  <si>
    <t>D.资本主义萌芽程度较高</t>
    <phoneticPr fontId="1" type="noConversion"/>
  </si>
  <si>
    <t>109.在五四运动至新中国成立前这一时期，中国反帝反封建斗争的主力是（    ）</t>
    <phoneticPr fontId="1" type="noConversion"/>
  </si>
  <si>
    <t>A.民族资产阶级未能成为统治阶级</t>
    <phoneticPr fontId="1" type="noConversion"/>
  </si>
  <si>
    <t>B.近代中国社会形态的制约</t>
    <phoneticPr fontId="1" type="noConversion"/>
  </si>
  <si>
    <t>C.中国没有形成统一的国内市场</t>
    <phoneticPr fontId="1" type="noConversion"/>
  </si>
  <si>
    <t>D.受民族资产阶级两面性的制约</t>
    <phoneticPr fontId="1" type="noConversion"/>
  </si>
  <si>
    <t>A.南京—厦门—天津—重庆</t>
    <phoneticPr fontId="1" type="noConversion"/>
  </si>
  <si>
    <t>B.厦门—南京—重庆—天津</t>
    <phoneticPr fontId="1" type="noConversion"/>
  </si>
  <si>
    <t>C.厦门—南京—天津—重庆</t>
    <phoneticPr fontId="1" type="noConversion"/>
  </si>
  <si>
    <t>D.南京—天津—厦门—重庆</t>
    <phoneticPr fontId="1" type="noConversion"/>
  </si>
  <si>
    <t>229.19世纪80、90年代签订的不平等条约与19世纪40、50年代的相比，最主要的不同是：</t>
    <phoneticPr fontId="1" type="noConversion"/>
  </si>
  <si>
    <t>A.割取中国的领土面积更大</t>
    <phoneticPr fontId="1" type="noConversion"/>
  </si>
  <si>
    <t>B.索取的赔款数额惊人</t>
    <phoneticPr fontId="1" type="noConversion"/>
  </si>
  <si>
    <t>C.开放的通商口岸深入内地</t>
    <phoneticPr fontId="1" type="noConversion"/>
  </si>
  <si>
    <t>D.列强获得对华资本输出特权</t>
    <phoneticPr fontId="1" type="noConversion"/>
  </si>
  <si>
    <t>230.《马关条约》的签订标志着列强侵华进入了一个新阶段。这是因为：（    ）</t>
    <phoneticPr fontId="1" type="noConversion"/>
  </si>
  <si>
    <t>A.中国半殖民地半封建社会基本形成</t>
    <phoneticPr fontId="1" type="noConversion"/>
  </si>
  <si>
    <t>B.反映了帝国主义资本输出和瓜分世界的要求</t>
    <phoneticPr fontId="1" type="noConversion"/>
  </si>
  <si>
    <t>C.清政府完全成为列强统治中国的工具</t>
    <phoneticPr fontId="1" type="noConversion"/>
  </si>
  <si>
    <t>D.帝国主义宰割中国的同盟初步形成</t>
    <phoneticPr fontId="1" type="noConversion"/>
  </si>
  <si>
    <t>A.割地赔款</t>
    <phoneticPr fontId="1" type="noConversion"/>
  </si>
  <si>
    <t>B.开放通商口岸</t>
    <phoneticPr fontId="1" type="noConversion"/>
  </si>
  <si>
    <t>C.破坏关税主权</t>
    <phoneticPr fontId="1" type="noConversion"/>
  </si>
  <si>
    <t>D.破坏中国主权</t>
    <phoneticPr fontId="1" type="noConversion"/>
  </si>
  <si>
    <t>232.德国伙同俄、法两国干涉还辽，这说明：（    ）</t>
    <phoneticPr fontId="1" type="noConversion"/>
  </si>
  <si>
    <t>A.俄法德三国结成同盟</t>
    <phoneticPr fontId="1" type="noConversion"/>
  </si>
  <si>
    <t>B.德日在远东的争夺激化</t>
    <phoneticPr fontId="1" type="noConversion"/>
  </si>
  <si>
    <t>C.日本已独霸中国</t>
    <phoneticPr fontId="1" type="noConversion"/>
  </si>
  <si>
    <t>D.列强间既矛盾又有勾结</t>
    <phoneticPr fontId="1" type="noConversion"/>
  </si>
  <si>
    <t>233.清政府完全沦为帝国主义统治中国的工具，最主要表现在：（    ）</t>
    <phoneticPr fontId="1" type="noConversion"/>
  </si>
  <si>
    <t>A.向外国侵略者“借师助剿”</t>
    <phoneticPr fontId="1" type="noConversion"/>
  </si>
  <si>
    <t>B.允许外国公使进驻北京</t>
    <phoneticPr fontId="1" type="noConversion"/>
  </si>
  <si>
    <t>C.向外国侵略者开放中国内地</t>
    <phoneticPr fontId="1" type="noConversion"/>
  </si>
  <si>
    <t>D.保证严禁中国人民反抗侵略</t>
    <phoneticPr fontId="1" type="noConversion"/>
  </si>
  <si>
    <t>234.甲午战争失败后，康梁维新派突破洋务运动的局限，宣传变法维新，其主要贡献是：</t>
    <phoneticPr fontId="1" type="noConversion"/>
  </si>
  <si>
    <t>A.提出政治体制改革的要求</t>
    <phoneticPr fontId="1" type="noConversion"/>
  </si>
  <si>
    <t>C.明确了以“中体西用”为指导思想方针</t>
    <phoneticPr fontId="1" type="noConversion"/>
  </si>
  <si>
    <t>D.宣传西方民主共和思想</t>
    <phoneticPr fontId="1" type="noConversion"/>
  </si>
  <si>
    <t>235.百日维新法令中的内容，直接触及顽固派利益的是：（    ）</t>
    <phoneticPr fontId="1" type="noConversion"/>
  </si>
  <si>
    <t>A.改革财政，编制预算决算</t>
    <phoneticPr fontId="1" type="noConversion"/>
  </si>
  <si>
    <t>B.废除八股取士，改试策论</t>
    <phoneticPr fontId="1" type="noConversion"/>
  </si>
  <si>
    <t>D.裁撤绿营，编练新式陆军</t>
    <phoneticPr fontId="1" type="noConversion"/>
  </si>
  <si>
    <t>236.维新派的救国方案，最根本的是有利于：（    ）</t>
    <phoneticPr fontId="1" type="noConversion"/>
  </si>
  <si>
    <t>A.发展资本主义</t>
    <phoneticPr fontId="1" type="noConversion"/>
  </si>
  <si>
    <t>B.实行君主立宪</t>
    <phoneticPr fontId="1" type="noConversion"/>
  </si>
  <si>
    <t>C.创办新式学校</t>
    <phoneticPr fontId="1" type="noConversion"/>
  </si>
  <si>
    <t>D.实现民主共和</t>
    <phoneticPr fontId="1" type="noConversion"/>
  </si>
  <si>
    <t>237.下列带有反洋教斗争性质的是：（    ）</t>
    <phoneticPr fontId="1" type="noConversion"/>
  </si>
  <si>
    <t>A.三元里抗英</t>
    <phoneticPr fontId="1" type="noConversion"/>
  </si>
  <si>
    <t>B.太平天国运动</t>
    <phoneticPr fontId="1" type="noConversion"/>
  </si>
  <si>
    <t>B.①②③</t>
    <phoneticPr fontId="1" type="noConversion"/>
  </si>
  <si>
    <t>D.①②</t>
    <phoneticPr fontId="1" type="noConversion"/>
  </si>
  <si>
    <t>A.革命派与保皇派的论战</t>
    <phoneticPr fontId="1" type="noConversion"/>
  </si>
  <si>
    <t>B.维新派与顽固派的论战</t>
    <phoneticPr fontId="1" type="noConversion"/>
  </si>
  <si>
    <t>D.“问题”与“主义”之争</t>
    <phoneticPr fontId="1" type="noConversion"/>
  </si>
  <si>
    <t>C.①②④</t>
    <phoneticPr fontId="1" type="noConversion"/>
  </si>
  <si>
    <t>242.1841年战死虎门的广东水师提督是（    ）</t>
    <phoneticPr fontId="1" type="noConversion"/>
  </si>
  <si>
    <t>A.陈化成</t>
    <phoneticPr fontId="1" type="noConversion"/>
  </si>
  <si>
    <t>B.海龄</t>
    <phoneticPr fontId="1" type="noConversion"/>
  </si>
  <si>
    <t>C.邓廷桢</t>
    <phoneticPr fontId="1" type="noConversion"/>
  </si>
  <si>
    <t>A.严复</t>
    <phoneticPr fontId="1" type="noConversion"/>
  </si>
  <si>
    <t>B.孙中山</t>
    <phoneticPr fontId="1" type="noConversion"/>
  </si>
  <si>
    <t>C.梁启超</t>
    <phoneticPr fontId="1" type="noConversion"/>
  </si>
  <si>
    <t>D.康有为</t>
    <phoneticPr fontId="1" type="noConversion"/>
  </si>
  <si>
    <t>245.外国军队有权在北京使馆区和北京至大沽、山海关一线包括天津、唐山等12处“留兵驻守”的近代不平等条约是（    ）</t>
    <phoneticPr fontId="1" type="noConversion"/>
  </si>
  <si>
    <t>B.《北京条约》</t>
    <phoneticPr fontId="1" type="noConversion"/>
  </si>
  <si>
    <t>D.《辛丑条约》</t>
    <phoneticPr fontId="1" type="noConversion"/>
  </si>
  <si>
    <t>257.1860年洗劫和烧毁圆明园的侵略者是：（    ）</t>
    <phoneticPr fontId="1" type="noConversion"/>
  </si>
  <si>
    <t>C.英法联军</t>
    <phoneticPr fontId="1" type="noConversion"/>
  </si>
  <si>
    <t>D.八国联军</t>
    <phoneticPr fontId="1" type="noConversion"/>
  </si>
  <si>
    <t xml:space="preserve">258.近代中国第一位系统介绍西方资产阶级文化的启蒙思想家是：（    ） </t>
    <phoneticPr fontId="1" type="noConversion"/>
  </si>
  <si>
    <t>B.严复</t>
    <phoneticPr fontId="1" type="noConversion"/>
  </si>
  <si>
    <t>C.陈独秀</t>
    <phoneticPr fontId="1" type="noConversion"/>
  </si>
  <si>
    <t>259.中国近代化的起点是：（    ）</t>
    <phoneticPr fontId="1" type="noConversion"/>
  </si>
  <si>
    <t>A.辛亥运动</t>
    <phoneticPr fontId="1" type="noConversion"/>
  </si>
  <si>
    <t>B.洋务革命</t>
    <phoneticPr fontId="1" type="noConversion"/>
  </si>
  <si>
    <t>260.中国近代历史上第一次反对国内封建势力和外国侵略势力的斗争是：（    ）</t>
    <phoneticPr fontId="1" type="noConversion"/>
  </si>
  <si>
    <t>B.义和团运动</t>
    <phoneticPr fontId="1" type="noConversion"/>
  </si>
  <si>
    <t>C.太平天国农民运动</t>
    <phoneticPr fontId="1" type="noConversion"/>
  </si>
  <si>
    <t>261.近代中国海关管理权丧失的标志是：（    ）</t>
    <phoneticPr fontId="1" type="noConversion"/>
  </si>
  <si>
    <t>D.海关总税务司的设置</t>
    <phoneticPr fontId="1" type="noConversion"/>
  </si>
  <si>
    <t>262.帝国主义瓜分中国图谋最终失败的根本原因是：（    ）</t>
    <phoneticPr fontId="1" type="noConversion"/>
  </si>
  <si>
    <t>263.“树立了中国应向外国的长处学习的新世界观念”是哪部著作：（    ）</t>
    <phoneticPr fontId="1" type="noConversion"/>
  </si>
  <si>
    <t>B.《盛世危言》</t>
    <phoneticPr fontId="1" type="noConversion"/>
  </si>
  <si>
    <t>D.《海国图志》</t>
    <phoneticPr fontId="1" type="noConversion"/>
  </si>
  <si>
    <t>264.洋务运动的指导思想是“中体西用”，最早提出这一思想的是：（    ）</t>
    <phoneticPr fontId="1" type="noConversion"/>
  </si>
  <si>
    <t>A.冯桂芬《校邠庐抗议》</t>
    <phoneticPr fontId="1" type="noConversion"/>
  </si>
  <si>
    <t>265.太平天国运动与洋务运动、维新运动的共同点是：（    ）</t>
    <phoneticPr fontId="1" type="noConversion"/>
  </si>
  <si>
    <t>B.以救亡图存为目的</t>
    <phoneticPr fontId="1" type="noConversion"/>
  </si>
  <si>
    <t>268.鸦片战争发生的根本原因是：（    ）</t>
    <phoneticPr fontId="1" type="noConversion"/>
  </si>
  <si>
    <t>C.英国工业革命后急需扩大海外市场</t>
    <phoneticPr fontId="1" type="noConversion"/>
  </si>
  <si>
    <t>D.英国要求进一步打开中国市场</t>
    <phoneticPr fontId="1" type="noConversion"/>
  </si>
  <si>
    <t>269.近代中国以鸦片战争为开端，主要是因为：（    ）</t>
    <phoneticPr fontId="1" type="noConversion"/>
  </si>
  <si>
    <t>D.中国第一次被西方打败</t>
    <phoneticPr fontId="1" type="noConversion"/>
  </si>
  <si>
    <t>270.下列关于近代中国社会主要矛盾的表述，不正确的是：（    ）</t>
    <phoneticPr fontId="1" type="noConversion"/>
  </si>
  <si>
    <t>A.中外矛盾自始至终占主导地位</t>
    <phoneticPr fontId="1" type="noConversion"/>
  </si>
  <si>
    <t>271.鸦片战争后，中国茶、丝出口量大增。这一现象说明的实质是：（    ）</t>
    <phoneticPr fontId="1" type="noConversion"/>
  </si>
  <si>
    <t>278.鸦片战争后，上海作为新兴的近代化港口城市迅速崛起，其主要原因是：（    ）</t>
    <phoneticPr fontId="1" type="noConversion"/>
  </si>
  <si>
    <t>C.民族资本主义发展的结果</t>
    <phoneticPr fontId="1" type="noConversion"/>
  </si>
  <si>
    <t>D.半殖民地半封建经济畸形发展的结果</t>
    <phoneticPr fontId="1" type="noConversion"/>
  </si>
  <si>
    <t>279.太平天国运动的实质是：（    ）</t>
    <phoneticPr fontId="1" type="noConversion"/>
  </si>
  <si>
    <t>A.中国旧民主主义革命的典范</t>
    <phoneticPr fontId="1" type="noConversion"/>
  </si>
  <si>
    <t>D.反封建反侵略的农民运动</t>
    <phoneticPr fontId="1" type="noConversion"/>
  </si>
  <si>
    <t>280.19世纪60年代以后，资本主义对中国的经济侵略加剧，其原因不包括：（    ）</t>
    <phoneticPr fontId="1" type="noConversion"/>
  </si>
  <si>
    <t>C.总理衙门的建立</t>
    <phoneticPr fontId="1" type="noConversion"/>
  </si>
  <si>
    <t>281.下列关于19世纪60年代到90年代中国经济状况的表述，不正确的是：（    ）</t>
    <phoneticPr fontId="1" type="noConversion"/>
  </si>
  <si>
    <t>A.中国的贸易出超额呈增长趋势</t>
    <phoneticPr fontId="1" type="noConversion"/>
  </si>
  <si>
    <t>282.下列各项与外国侵略者控制中国海关所造成的影响无关的是：（    ）</t>
    <phoneticPr fontId="1" type="noConversion"/>
  </si>
  <si>
    <t>B.使中国海关丧失保护民族工业的作用</t>
    <phoneticPr fontId="1" type="noConversion"/>
  </si>
  <si>
    <t>D.使中国的关税自主权开始丧失</t>
    <phoneticPr fontId="1" type="noConversion"/>
  </si>
  <si>
    <t>283.太平天国天京被攻陷是在（    ）</t>
    <phoneticPr fontId="1" type="noConversion"/>
  </si>
  <si>
    <t>A.1851年1月</t>
    <phoneticPr fontId="1" type="noConversion"/>
  </si>
  <si>
    <t>B.1853年5月</t>
    <phoneticPr fontId="1" type="noConversion"/>
  </si>
  <si>
    <t>C.1856年7月</t>
    <phoneticPr fontId="1" type="noConversion"/>
  </si>
  <si>
    <t>D.1864年7月</t>
    <phoneticPr fontId="1" type="noConversion"/>
  </si>
  <si>
    <t>284.孙中山说：“国民党在堕落中死亡，因此要救活它，就需要新鲜血液。”为此他采取的主要措施是（    ）</t>
    <phoneticPr fontId="1" type="noConversion"/>
  </si>
  <si>
    <t>A.接受中共反帝反封建的主张</t>
    <phoneticPr fontId="1" type="noConversion"/>
  </si>
  <si>
    <t>B.重新解释三民主义</t>
    <phoneticPr fontId="1" type="noConversion"/>
  </si>
  <si>
    <t>C.以党内合作方式同共产党合作</t>
    <phoneticPr fontId="1" type="noConversion"/>
  </si>
  <si>
    <t>D.建立黄埔军校，培养新式军事干部</t>
    <phoneticPr fontId="1" type="noConversion"/>
  </si>
  <si>
    <t>285.革命统一战线正式建立的标志是（    ）</t>
    <phoneticPr fontId="1" type="noConversion"/>
  </si>
  <si>
    <t>A.国民党“一大”的召开</t>
    <phoneticPr fontId="1" type="noConversion"/>
  </si>
  <si>
    <t>B.国民党改组</t>
    <phoneticPr fontId="1" type="noConversion"/>
  </si>
  <si>
    <t>C.三民主义发展为新三民主义</t>
    <phoneticPr fontId="1" type="noConversion"/>
  </si>
  <si>
    <t>D.中共“三大”的召开</t>
    <phoneticPr fontId="1" type="noConversion"/>
  </si>
  <si>
    <t>286.新三民主义之所以成为第一次国共合作的政治基础，主要原因是（    ）</t>
    <phoneticPr fontId="1" type="noConversion"/>
  </si>
  <si>
    <t>A.它与中国共产党的最高纲领一致</t>
    <phoneticPr fontId="1" type="noConversion"/>
  </si>
  <si>
    <t>B.它适应了时代发展的潮流</t>
    <phoneticPr fontId="1" type="noConversion"/>
  </si>
  <si>
    <t>D.它与中共民主革命纲领若干原则一致</t>
    <phoneticPr fontId="1" type="noConversion"/>
  </si>
  <si>
    <t>287.1924—1926年的中国国民党是一个（    ）</t>
    <phoneticPr fontId="1" type="noConversion"/>
  </si>
  <si>
    <t>B.官僚资产阶级的政党</t>
    <phoneticPr fontId="1" type="noConversion"/>
  </si>
  <si>
    <t>D.工人、农民、城市小资产阶级和民族资产阶级的革命联盟</t>
    <phoneticPr fontId="1" type="noConversion"/>
  </si>
  <si>
    <t>288.1925年5月，以（    ）为起点，国共两党掀起了全国范围的大革命浪潮。</t>
    <phoneticPr fontId="1" type="noConversion"/>
  </si>
  <si>
    <t>A.国民党一大</t>
    <phoneticPr fontId="1" type="noConversion"/>
  </si>
  <si>
    <t>B.成立黄埔军校</t>
    <phoneticPr fontId="1" type="noConversion"/>
  </si>
  <si>
    <t>C.广州国民政府成立</t>
    <phoneticPr fontId="1" type="noConversion"/>
  </si>
  <si>
    <t>D.五卅运动</t>
    <phoneticPr fontId="1" type="noConversion"/>
  </si>
  <si>
    <t>289.毛泽东发表《湖南农民运动考察报告》，热情歌颂农民运动“好得很”，其最主要的原因是（    ）</t>
    <phoneticPr fontId="1" type="noConversion"/>
  </si>
  <si>
    <t>A.促进了大革命运动的高涨</t>
    <phoneticPr fontId="1" type="noConversion"/>
  </si>
  <si>
    <t>B.打击了几千年专制统治的基础</t>
    <phoneticPr fontId="1" type="noConversion"/>
  </si>
  <si>
    <t>C.提出了“一切权力归农会”的口号</t>
    <phoneticPr fontId="1" type="noConversion"/>
  </si>
  <si>
    <t>D.体现了农民觉悟的提高</t>
    <phoneticPr fontId="1" type="noConversion"/>
  </si>
  <si>
    <t>C.①③④</t>
    <phoneticPr fontId="1" type="noConversion"/>
  </si>
  <si>
    <t>291.对第一次国共合作起了促进的共产国际派遣人员是（    ）</t>
    <phoneticPr fontId="1" type="noConversion"/>
  </si>
  <si>
    <t>A.马林</t>
    <phoneticPr fontId="1" type="noConversion"/>
  </si>
  <si>
    <t>B.越飞</t>
    <phoneticPr fontId="1" type="noConversion"/>
  </si>
  <si>
    <t>C.鲍罗廷</t>
    <phoneticPr fontId="1" type="noConversion"/>
  </si>
  <si>
    <t>D.李德</t>
    <phoneticPr fontId="1" type="noConversion"/>
  </si>
  <si>
    <t>292.“中国现有的各政党，只有国民党比较是革命的民主派，比较是真的民主派”中共提出这一论断的主要依据是当时（    ）</t>
    <phoneticPr fontId="1" type="noConversion"/>
  </si>
  <si>
    <t>A.国民党代表资产阶级和小资产阶级</t>
    <phoneticPr fontId="1" type="noConversion"/>
  </si>
  <si>
    <t>B.国民党建立了革命根据地和军队</t>
    <phoneticPr fontId="1" type="noConversion"/>
  </si>
  <si>
    <t>C.其领袖孙中山站在无产阶级立场上</t>
    <phoneticPr fontId="1" type="noConversion"/>
  </si>
  <si>
    <t>D.孙中山领导国民党进行不屈不挠的反帝反封建斗争</t>
    <phoneticPr fontId="1" type="noConversion"/>
  </si>
  <si>
    <t>293.宋庆龄说：“孙中山和共产党之间具有历史意义的合作不是偶然的，它是当时的国际局势和中国本身的内部条件造成的。”这里说的“内部条件”主要是指（    ）</t>
    <phoneticPr fontId="1" type="noConversion"/>
  </si>
  <si>
    <t>A.一战后，中国民族工业重新受到列强压制</t>
    <phoneticPr fontId="1" type="noConversion"/>
  </si>
  <si>
    <t>B.“打倒列强，除军阀”成为全国人民的共同心愿。</t>
    <phoneticPr fontId="1" type="noConversion"/>
  </si>
  <si>
    <t>C.中国共产党总结了经验教训正在积极寻找同盟者。</t>
    <phoneticPr fontId="1" type="noConversion"/>
  </si>
  <si>
    <t>D.国民党是中国各政党中比较革命的民主派。</t>
    <phoneticPr fontId="1" type="noConversion"/>
  </si>
  <si>
    <t>294.1921年9月，中国共产党在（    ）领导创建了第一个农民协会</t>
    <phoneticPr fontId="1" type="noConversion"/>
  </si>
  <si>
    <t>A.广东海丰县赤山村</t>
    <phoneticPr fontId="1" type="noConversion"/>
  </si>
  <si>
    <t>B.广东陆丰县</t>
    <phoneticPr fontId="1" type="noConversion"/>
  </si>
  <si>
    <t>C.浙江萧山县衙前村</t>
    <phoneticPr fontId="1" type="noConversion"/>
  </si>
  <si>
    <t>D.湖南衡山县白果</t>
    <phoneticPr fontId="1" type="noConversion"/>
  </si>
  <si>
    <t>295.在20世纪第二个十年，堪称中国历史转折之里程碑的是（    ）</t>
    <phoneticPr fontId="1" type="noConversion"/>
  </si>
  <si>
    <t>A.武昌起义、中华民国建立</t>
    <phoneticPr fontId="1" type="noConversion"/>
  </si>
  <si>
    <t>B.《新青年》创办、武昌起义</t>
    <phoneticPr fontId="1" type="noConversion"/>
  </si>
  <si>
    <t>C.五四运动、《新青年》创办</t>
    <phoneticPr fontId="1" type="noConversion"/>
  </si>
  <si>
    <t>D.中华民国建立、五四运动</t>
    <phoneticPr fontId="1" type="noConversion"/>
  </si>
  <si>
    <t>296.新文化运动兴起的标志是（    ）</t>
    <phoneticPr fontId="1" type="noConversion"/>
  </si>
  <si>
    <t>A.蔡元培“兼容并包”办学方针的采用</t>
    <phoneticPr fontId="1" type="noConversion"/>
  </si>
  <si>
    <t>B.民主与科学口号的提出</t>
    <phoneticPr fontId="1" type="noConversion"/>
  </si>
  <si>
    <t>C.陈独秀在上海创办《青年》杂志</t>
    <phoneticPr fontId="1" type="noConversion"/>
  </si>
  <si>
    <t>D.李大钊发表《庶民的胜利》</t>
    <phoneticPr fontId="1" type="noConversion"/>
  </si>
  <si>
    <t>297.前期新文化运动与资产阶级改良派、革命派思想相比，就其作用而言，主要“新”在（    ）</t>
    <phoneticPr fontId="1" type="noConversion"/>
  </si>
  <si>
    <t>A.传播了资产阶级民权平等思想</t>
    <phoneticPr fontId="1" type="noConversion"/>
  </si>
  <si>
    <t>B.动摇了封建正统思想的统治地位</t>
    <phoneticPr fontId="1" type="noConversion"/>
  </si>
  <si>
    <t>C.绝对肯定了西方文化的进步性</t>
    <phoneticPr fontId="1" type="noConversion"/>
  </si>
  <si>
    <t>D.深入研究和传播了马克思主义</t>
    <phoneticPr fontId="1" type="noConversion"/>
  </si>
  <si>
    <t>298.新文化运动对中国革命产生的最深刻的影响是（    ）</t>
    <phoneticPr fontId="1" type="noConversion"/>
  </si>
  <si>
    <t>A.动摇封建思想的统治地位</t>
    <phoneticPr fontId="1" type="noConversion"/>
  </si>
  <si>
    <t>B.弘扬了民主和科学，推动了自然科学发展</t>
    <phoneticPr fontId="1" type="noConversion"/>
  </si>
  <si>
    <t>C.对五四运动的爆发起了宣传作用</t>
    <phoneticPr fontId="1" type="noConversion"/>
  </si>
  <si>
    <t>D.后期传播社会主义思想，成为知识分子拯救国家改造社会的思想武器</t>
    <phoneticPr fontId="1" type="noConversion"/>
  </si>
  <si>
    <t>216.鸦片战争对中国经济产生的影响，包括：（    ）①清政府被迫大借外债②东南数省手工棉纺织业受到很大冲击③自然经济瓦解，小农经济完全破产④中国出现第一批新式船坞和工厂</t>
    <phoneticPr fontId="1" type="noConversion"/>
  </si>
  <si>
    <t>231.《南京条约》、《中法新约》、《马关条约》、《辛丑条约》的相似内容是：（    ）</t>
    <phoneticPr fontId="1" type="noConversion"/>
  </si>
  <si>
    <t>239.促成中国近代史上第一次思想解放潮流的是：（    ）</t>
    <phoneticPr fontId="1" type="noConversion"/>
  </si>
  <si>
    <t xml:space="preserve">241.20世纪初第一场帝国主义战争发生在中国的：（   ）  </t>
    <phoneticPr fontId="1" type="noConversion"/>
  </si>
  <si>
    <t>243.1895年，在《救亡决论》一文中响亮地喊出“救亡”口号的是：（    ）</t>
    <phoneticPr fontId="1" type="noConversion"/>
  </si>
  <si>
    <t>A.民族资产阶级的政党</t>
    <phoneticPr fontId="1" type="noConversion"/>
  </si>
  <si>
    <t>C.工人、农民和小资产阶级的政治联盟</t>
    <phoneticPr fontId="1" type="noConversion"/>
  </si>
  <si>
    <t>C.它与中共的民主革命完全一致</t>
    <phoneticPr fontId="1" type="noConversion"/>
  </si>
  <si>
    <t>290.北伐战争对准的军阀是（    ）①吴佩孚②孙传芳③张作霖④段祺瑞</t>
    <phoneticPr fontId="1" type="noConversion"/>
  </si>
  <si>
    <t>300.最能体现五四运动性质的口号是（    ）</t>
    <phoneticPr fontId="1" type="noConversion"/>
  </si>
  <si>
    <t>A.废除“二十一条”</t>
    <phoneticPr fontId="1" type="noConversion"/>
  </si>
  <si>
    <t>B.还我青岛</t>
    <phoneticPr fontId="1" type="noConversion"/>
  </si>
  <si>
    <t>C.外争国权内惩国贼</t>
    <phoneticPr fontId="1" type="noConversion"/>
  </si>
  <si>
    <t>D.拒绝在和约上签字</t>
    <phoneticPr fontId="1" type="noConversion"/>
  </si>
  <si>
    <t>301.在民主革命时期，知识分子走向社会、与工农群众结合开始于（    ）</t>
    <phoneticPr fontId="1" type="noConversion"/>
  </si>
  <si>
    <t>A.戊戌变法时期</t>
    <phoneticPr fontId="1" type="noConversion"/>
  </si>
  <si>
    <t>B.五四运动时期</t>
    <phoneticPr fontId="1" type="noConversion"/>
  </si>
  <si>
    <t>C.五卅运动时期</t>
    <phoneticPr fontId="1" type="noConversion"/>
  </si>
  <si>
    <t>D.一二•九运动时期</t>
    <phoneticPr fontId="1" type="noConversion"/>
  </si>
  <si>
    <t>302.在中国大地上率先举起马克思主义旗帜的是（    ）</t>
    <phoneticPr fontId="1" type="noConversion"/>
  </si>
  <si>
    <t>A.李大钊</t>
    <phoneticPr fontId="1" type="noConversion"/>
  </si>
  <si>
    <t>C.张国焘</t>
    <phoneticPr fontId="1" type="noConversion"/>
  </si>
  <si>
    <t>D.毛泽东</t>
    <phoneticPr fontId="1" type="noConversion"/>
  </si>
  <si>
    <t>303.标志着中国新民主主义革命开端的是（    ）</t>
    <phoneticPr fontId="1" type="noConversion"/>
  </si>
  <si>
    <t>A.新文化运动</t>
    <phoneticPr fontId="1" type="noConversion"/>
  </si>
  <si>
    <t>B.五四运动</t>
    <phoneticPr fontId="1" type="noConversion"/>
  </si>
  <si>
    <t>C.中国共产党的诞生</t>
    <phoneticPr fontId="1" type="noConversion"/>
  </si>
  <si>
    <t>304.国民大革命取得的最突出的成就是（    ）</t>
    <phoneticPr fontId="1" type="noConversion"/>
  </si>
  <si>
    <t>A.促使工农运动蓬勃开展</t>
    <phoneticPr fontId="1" type="noConversion"/>
  </si>
  <si>
    <t>B.进行了北伐战争</t>
    <phoneticPr fontId="1" type="noConversion"/>
  </si>
  <si>
    <t>C.基本推翻了北洋军阀的统治</t>
    <phoneticPr fontId="1" type="noConversion"/>
  </si>
  <si>
    <t>D.扩大了中国共产党在群众中的影响</t>
    <phoneticPr fontId="1" type="noConversion"/>
  </si>
  <si>
    <t>305.第一次国共合作终于全面破裂的历史事件是（    ）</t>
    <phoneticPr fontId="1" type="noConversion"/>
  </si>
  <si>
    <t>A.“四一二”政变</t>
    <phoneticPr fontId="1" type="noConversion"/>
  </si>
  <si>
    <t>B.马日事变</t>
    <phoneticPr fontId="1" type="noConversion"/>
  </si>
  <si>
    <t>C.夏斗寅叛乱</t>
    <phoneticPr fontId="1" type="noConversion"/>
  </si>
  <si>
    <t>D.“七一五”政变</t>
    <phoneticPr fontId="1" type="noConversion"/>
  </si>
  <si>
    <t>B.②③①④</t>
    <phoneticPr fontId="1" type="noConversion"/>
  </si>
  <si>
    <t>C.④①②③</t>
    <phoneticPr fontId="1" type="noConversion"/>
  </si>
  <si>
    <t>D.④③②①</t>
    <phoneticPr fontId="1" type="noConversion"/>
  </si>
  <si>
    <t>307.辛亥革命和国民大革命的失败是指（    ）</t>
    <phoneticPr fontId="1" type="noConversion"/>
  </si>
  <si>
    <t>A.没有完成反帝反封建的任务</t>
    <phoneticPr fontId="1" type="noConversion"/>
  </si>
  <si>
    <t>B.被反动势力篡夺了革命果实</t>
    <phoneticPr fontId="1" type="noConversion"/>
  </si>
  <si>
    <t>C.没有建立真正的资产阶级共和国</t>
    <phoneticPr fontId="1" type="noConversion"/>
  </si>
  <si>
    <t>D.没有促进中国革命的向前发展</t>
    <phoneticPr fontId="1" type="noConversion"/>
  </si>
  <si>
    <t>308.下列观点中，反映出中国共产党在第一次国内革命战争中失败的主观原因是（    ）</t>
    <phoneticPr fontId="1" type="noConversion"/>
  </si>
  <si>
    <t>A.目前，中国民族革命运动的发展，重要的是进行土地革命。</t>
    <phoneticPr fontId="1" type="noConversion"/>
  </si>
  <si>
    <t>B.此后我们的人力务必用在民众方面，万勿参加政府工作。</t>
    <phoneticPr fontId="1" type="noConversion"/>
  </si>
  <si>
    <t>D.在半殖民地半封建的条件下，中国人民迫切需要的并不是进行社会主义革命。</t>
    <phoneticPr fontId="1" type="noConversion"/>
  </si>
  <si>
    <t>309.大革命的失败，给中共最深刻的教训是（    ）</t>
    <phoneticPr fontId="1" type="noConversion"/>
  </si>
  <si>
    <t>A.无产阶级必须掌握革命领导权和革命武装</t>
    <phoneticPr fontId="1" type="noConversion"/>
  </si>
  <si>
    <t>B.要建立巩固的工农联盟</t>
    <phoneticPr fontId="1" type="noConversion"/>
  </si>
  <si>
    <t>C.要警惕统一战线内部的野心家</t>
    <phoneticPr fontId="1" type="noConversion"/>
  </si>
  <si>
    <t>D.要制定彻底的革命纲领</t>
    <phoneticPr fontId="1" type="noConversion"/>
  </si>
  <si>
    <t>310.1927年中共“五大”的一个文件认为：“自五卅运动起……我们党只注意了反帝反封建斗争，而忽略与资产阶级争夺领导权的斗争……这段时间本党没有正确政策”，这段话（    ）</t>
    <phoneticPr fontId="1" type="noConversion"/>
  </si>
  <si>
    <t>A.错误攻击党的统一战线政策</t>
    <phoneticPr fontId="1" type="noConversion"/>
  </si>
  <si>
    <t>B.强调反对资产阶级具有“左”的错误</t>
    <phoneticPr fontId="1" type="noConversion"/>
  </si>
  <si>
    <t>C.批评了党忽视统一战线领导权的错误</t>
    <phoneticPr fontId="1" type="noConversion"/>
  </si>
  <si>
    <t>D.贬低了反帝反军阀斗争的重要性</t>
    <phoneticPr fontId="1" type="noConversion"/>
  </si>
  <si>
    <t>311.八七会议前后，中共发动的几次大规模武装起义均以夺取大城市为目标，这种情况表明（    ）</t>
    <phoneticPr fontId="1" type="noConversion"/>
  </si>
  <si>
    <t>A.我党在城市拥有相对强大的革命力量</t>
    <phoneticPr fontId="1" type="noConversion"/>
  </si>
  <si>
    <t>B.敌人在某些大城市力量不足</t>
    <phoneticPr fontId="1" type="noConversion"/>
  </si>
  <si>
    <t>C.我党的革命道路脱离实际</t>
    <phoneticPr fontId="1" type="noConversion"/>
  </si>
  <si>
    <t>D.我党尚未充分认识到农民是革命的动力</t>
    <phoneticPr fontId="1" type="noConversion"/>
  </si>
  <si>
    <t>312.井冈山根据地的建立与巩固（    ）</t>
    <phoneticPr fontId="1" type="noConversion"/>
  </si>
  <si>
    <t>A.开辟了农村包围城市武装夺取政权的道路</t>
    <phoneticPr fontId="1" type="noConversion"/>
  </si>
  <si>
    <t>C.是中共独立领导武装斗争的开端</t>
    <phoneticPr fontId="1" type="noConversion"/>
  </si>
  <si>
    <t>D.是土地革命战争时期的开始标志</t>
    <phoneticPr fontId="1" type="noConversion"/>
  </si>
  <si>
    <t>313.1927年下半年，中国革命呈现出的根本趋势是（    ）</t>
    <phoneticPr fontId="1" type="noConversion"/>
  </si>
  <si>
    <t>A.中共的工作重心开始由城市转移到农村</t>
    <phoneticPr fontId="1" type="noConversion"/>
  </si>
  <si>
    <t>B.中共发动武装起义夺取城市</t>
    <phoneticPr fontId="1" type="noConversion"/>
  </si>
  <si>
    <t>C.中共发动了一系列罢工，反对国民党统治</t>
    <phoneticPr fontId="1" type="noConversion"/>
  </si>
  <si>
    <t>D.中共党内出现了“左”倾机会主义错误</t>
    <phoneticPr fontId="1" type="noConversion"/>
  </si>
  <si>
    <t>314.中国革命必须走农村包围城市最后夺取城市这样一条道路，主要取决于（    ）</t>
    <phoneticPr fontId="1" type="noConversion"/>
  </si>
  <si>
    <t>A.中国农民人口多</t>
    <phoneticPr fontId="1" type="noConversion"/>
  </si>
  <si>
    <t>B.中国革命的发展趋势</t>
    <phoneticPr fontId="1" type="noConversion"/>
  </si>
  <si>
    <t>C.中国半殖民地半封建社会性质</t>
    <phoneticPr fontId="1" type="noConversion"/>
  </si>
  <si>
    <t>D.敌人在农村力量薄弱</t>
    <phoneticPr fontId="1" type="noConversion"/>
  </si>
  <si>
    <t>315.土地革命战争时期、毛泽东指出：“一国之内，在四周白色政权的包围中，有一小块或若干小块红色政权的区域长期地存在，这是世界各国从来没有的事。这种奇事的发生，有其独特的原因。”红色政权能够存在和发展的根本原因是（    ）</t>
    <phoneticPr fontId="1" type="noConversion"/>
  </si>
  <si>
    <t>A.中国是一个经济政治发展极端不平衡的半殖民地半封建大国</t>
    <phoneticPr fontId="1" type="noConversion"/>
  </si>
  <si>
    <t>B.国民革命的政治影响及良好的群众基础</t>
    <phoneticPr fontId="1" type="noConversion"/>
  </si>
  <si>
    <t>C.全国革命形势的继续发展</t>
    <phoneticPr fontId="1" type="noConversion"/>
  </si>
  <si>
    <t>D.相当力量的正式红军的存在以及共产党组织的坚强有力和正确领导</t>
    <phoneticPr fontId="1" type="noConversion"/>
  </si>
  <si>
    <t>316.大革命失败后，中国国内阶级关系发生变化，这主要是指（    ）</t>
    <phoneticPr fontId="1" type="noConversion"/>
  </si>
  <si>
    <t>A.国共对峙取代了南北对峙</t>
    <phoneticPr fontId="1" type="noConversion"/>
  </si>
  <si>
    <t>B.国民党新军阀统治取代了北洋军阀统治</t>
    <phoneticPr fontId="1" type="noConversion"/>
  </si>
  <si>
    <t>C.民族资产阶级成为革命的对象</t>
    <phoneticPr fontId="1" type="noConversion"/>
  </si>
  <si>
    <t xml:space="preserve"> 
D.封建军阀已经被打倒</t>
    <phoneticPr fontId="1" type="noConversion"/>
  </si>
  <si>
    <t>317.毛泽东实际上否定了“城市中心论”，确立了“以乡村为中心”的思想的文章是（    ）</t>
    <phoneticPr fontId="1" type="noConversion"/>
  </si>
  <si>
    <t>A.《星星之火，可以燎原》</t>
    <phoneticPr fontId="1" type="noConversion"/>
  </si>
  <si>
    <t>B.《中国的红色政权为什么能够存在》</t>
    <phoneticPr fontId="1" type="noConversion"/>
  </si>
  <si>
    <t>D.《井冈山的斗争》</t>
    <phoneticPr fontId="1" type="noConversion"/>
  </si>
  <si>
    <t>318.国共十年对峙前期，中共建立的革命根据地主要集中在江南地区，主要是因为这一地区（    ）</t>
    <phoneticPr fontId="1" type="noConversion"/>
  </si>
  <si>
    <t>A.中外反动势力力量较弱</t>
    <phoneticPr fontId="1" type="noConversion"/>
  </si>
  <si>
    <t>B.国民大革命时期有良好的群众基础</t>
    <phoneticPr fontId="1" type="noConversion"/>
  </si>
  <si>
    <t>C.一直是中共中央所在地</t>
    <phoneticPr fontId="1" type="noConversion"/>
  </si>
  <si>
    <t>D.地理环境适宜建立农村革命根据地</t>
    <phoneticPr fontId="1" type="noConversion"/>
  </si>
  <si>
    <t>319.确立党对人民军队的绝对领导这个根本原则是在（    ）</t>
    <phoneticPr fontId="1" type="noConversion"/>
  </si>
  <si>
    <t>A.古田会议</t>
    <phoneticPr fontId="1" type="noConversion"/>
  </si>
  <si>
    <t>B.三湾改编</t>
    <phoneticPr fontId="1" type="noConversion"/>
  </si>
  <si>
    <t>C.《中国革命战争的战略问题》</t>
    <phoneticPr fontId="1" type="noConversion"/>
  </si>
  <si>
    <t>D.《战争和战略问题》</t>
    <phoneticPr fontId="1" type="noConversion"/>
  </si>
  <si>
    <t>306.下列国民党右派制造的反革命活动（事变），其先后顺序是（    ）①“七一五”反革命政变②“四一二”反革命政变③中山舰事件④西山会议</t>
    <phoneticPr fontId="1" type="noConversion"/>
  </si>
  <si>
    <t>D.孙中山的《中国问题的真解决》</t>
    <phoneticPr fontId="1" type="noConversion"/>
  </si>
  <si>
    <t>C.陈天华的《警世钟》、《猛回头》</t>
    <phoneticPr fontId="1" type="noConversion"/>
  </si>
  <si>
    <r>
      <rPr>
        <b/>
        <sz val="14"/>
        <rFont val="宋体"/>
        <family val="3"/>
        <charset val="134"/>
      </rPr>
      <t xml:space="preserve">分组刷题             </t>
    </r>
    <r>
      <rPr>
        <b/>
        <sz val="16"/>
        <rFont val="宋体"/>
        <family val="3"/>
        <charset val="134"/>
      </rPr>
      <t xml:space="preserve">        </t>
    </r>
    <phoneticPr fontId="1" type="noConversion"/>
  </si>
  <si>
    <t xml:space="preserve">214.与以往的农民运动相比，太平天国运动具有的新特点包括：（    ）①反封建的同时还要反侵略②利用宗教组织发动起义③提出向西方学习，发展资本主义④颁布了农民革命纲领
</t>
    <phoneticPr fontId="1" type="noConversion"/>
  </si>
  <si>
    <t>C.中日马关条约的签订</t>
    <phoneticPr fontId="1" type="noConversion"/>
  </si>
  <si>
    <t>212.第二次鸦片战争使中国半殖民地半封建化程度加深，主要体现在：（    ）①中国丧失了大片领土和主权②清朝统治者开始成为外国侵略者的附庸和工具③外国侵略势力开始伸入中国内地④中外反动势力公开勾结，共同镇压中国人民的反抗</t>
    <phoneticPr fontId="1" type="noConversion"/>
  </si>
  <si>
    <t>219.太平天国运动的实质是：（     ）</t>
    <phoneticPr fontId="1" type="noConversion"/>
  </si>
  <si>
    <t>224.洋务运动与日本明治维新的相似点有：（     ）①都面临内外交困的局面②都引进了西方科学技术③都建立了近代教育制度④都维护了封建君主专制统治</t>
    <phoneticPr fontId="1" type="noConversion"/>
  </si>
  <si>
    <t>228.列强强迫清政府开放的下列通商口岸的先后顺序是：（     ）</t>
    <phoneticPr fontId="1" type="noConversion"/>
  </si>
  <si>
    <t>240.甲午中日战争后，列强争相向清政府贷款，是为了：（    ）①攫取高额回扣和利息②长期把持中国海关③进一步控制中国的经济命脉④扩大在华政治势力</t>
    <phoneticPr fontId="1" type="noConversion"/>
  </si>
  <si>
    <t xml:space="preserve">238.下列关于戊戌变法和辛亥革命的表述，正确的是：（    ）①辛亥革命对戊戌变法既是否定又是发展②都试图建立近代资产阶级政治体制③都是救亡图存、发展资本主义的政治运动④都是中国近代化进程的里程碑
</t>
    <phoneticPr fontId="1" type="noConversion"/>
  </si>
  <si>
    <t>B.社会性质开始发生根本变化</t>
    <phoneticPr fontId="1" type="noConversion"/>
  </si>
  <si>
    <t>D.是由近代中国社会性质决定的</t>
    <phoneticPr fontId="1" type="noConversion"/>
  </si>
  <si>
    <t>B.洋务运动的兴起</t>
    <phoneticPr fontId="1" type="noConversion"/>
  </si>
  <si>
    <t>C.共产党员加入国民党而兼跨固有的党籍，是想对国民革命和国民党有所贡献。</t>
    <phoneticPr fontId="1" type="noConversion"/>
  </si>
  <si>
    <t>B.《海国图志》</t>
    <phoneticPr fontId="1" type="noConversion"/>
  </si>
  <si>
    <t>D.甲午中日战争中</t>
    <phoneticPr fontId="1" type="noConversion"/>
  </si>
  <si>
    <t>B.倡导向西方学习科学技术</t>
    <phoneticPr fontId="1" type="noConversion"/>
  </si>
  <si>
    <t>C.撤并机构，裁汰冗员</t>
    <phoneticPr fontId="1" type="noConversion"/>
  </si>
  <si>
    <t>C.维新变法运动</t>
    <phoneticPr fontId="1" type="noConversion"/>
  </si>
  <si>
    <t>C.洋务派与顽固派的论战</t>
    <phoneticPr fontId="1" type="noConversion"/>
  </si>
  <si>
    <t>C.郑观应《盛世危言》</t>
    <phoneticPr fontId="1" type="noConversion"/>
  </si>
  <si>
    <t>C.坚决反封建的姿态</t>
    <phoneticPr fontId="1" type="noConversion"/>
  </si>
  <si>
    <t xml:space="preserve">                  近代史选择题练习</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</si>
</sst>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等线"/>
      <family val="2"/>
      <scheme val="minor"/>
    </font>
    <font>
      <sz val="9"/>
      <name val="宋体"/>
      <charset val="134"/>
    </font>
    <font>
      <sz val="12"/>
      <name val="宋体"/>
      <charset val="134"/>
    </font>
    <font>
      <b/>
      <sz val="16"/>
      <color indexed="8"/>
      <name val="楷体_GB2312"/>
      <family val="3"/>
      <charset val="134"/>
    </font>
    <font>
      <sz val="16"/>
      <color indexed="8"/>
      <name val="楷体_GB2312"/>
      <family val="3"/>
      <charset val="134"/>
    </font>
    <font>
      <sz val="12"/>
      <color indexed="10"/>
      <name val="宋体"/>
      <family val="3"/>
      <charset val="134"/>
    </font>
    <font>
      <sz val="20"/>
      <color theme="4" tint="-0.249977111117893"/>
      <name val="宋体"/>
      <family val="3"/>
      <charset val="134"/>
    </font>
    <font>
      <sz val="20"/>
      <color indexed="10"/>
      <name val="宋体"/>
      <family val="3"/>
      <charset val="134"/>
    </font>
    <font>
      <sz val="12"/>
      <color indexed="12"/>
      <name val="宋体"/>
      <family val="3"/>
      <charset val="134"/>
    </font>
    <font>
      <sz val="16"/>
      <color indexed="8"/>
      <name val="宋体"/>
      <family val="3"/>
      <charset val="134"/>
    </font>
    <font>
      <sz val="20"/>
      <color indexed="12"/>
      <name val="宋体"/>
      <family val="3"/>
      <charset val="134"/>
    </font>
    <font>
      <sz val="20"/>
      <name val="宋体"/>
      <family val="3"/>
      <charset val="134"/>
    </font>
    <font>
      <sz val="16"/>
      <name val="宋体"/>
      <family val="3"/>
      <charset val="134"/>
    </font>
    <font>
      <sz val="16"/>
      <color indexed="8"/>
      <name val="宋体"/>
      <family val="3"/>
      <charset val="134"/>
    </font>
    <font>
      <b/>
      <sz val="22"/>
      <name val="宋体"/>
      <family val="3"/>
      <charset val="134"/>
    </font>
    <font>
      <b/>
      <sz val="16"/>
      <color indexed="8"/>
      <name val="宋体"/>
      <family val="3"/>
      <charset val="134"/>
    </font>
    <font>
      <sz val="20"/>
      <color rgb="FFFF0000"/>
      <name val="宋体"/>
      <family val="3"/>
      <charset val="134"/>
    </font>
    <font>
      <sz val="12"/>
      <color rgb="FFFF0000"/>
      <name val="宋体"/>
      <family val="3"/>
      <charset val="134"/>
    </font>
    <font>
      <sz val="9"/>
      <name val="宋体"/>
      <family val="3"/>
      <charset val="134"/>
    </font>
    <font>
      <sz val="12"/>
      <name val="宋体"/>
      <family val="3"/>
      <charset val="134"/>
    </font>
    <font>
      <b/>
      <sz val="16"/>
      <name val="宋体"/>
      <family val="3"/>
      <charset val="134"/>
    </font>
    <font>
      <b/>
      <sz val="14"/>
      <name val="宋体"/>
      <family val="3"/>
      <charset val="134"/>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3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57">
    <xf numFmtId="0" fontId="0" fillId="0" borderId="0" xfId="0"/>
    <xf numFmtId="0" fontId="5" fillId="0" borderId="1" xfId="0" applyFont="1" applyBorder="1"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xf numFmtId="0" fontId="2" fillId="0" borderId="0" xfId="0" applyFont="1" applyAlignment="1"/>
    <xf numFmtId="0" fontId="8" fillId="0" borderId="0" xfId="0" applyFont="1"/>
    <xf numFmtId="0" fontId="14" fillId="0" borderId="7" xfId="0" applyFont="1" applyBorder="1" applyAlignment="1">
      <alignment horizontal="center" vertical="center"/>
    </xf>
    <xf numFmtId="0" fontId="14" fillId="0" borderId="7" xfId="0" applyFont="1" applyBorder="1" applyAlignment="1">
      <alignment vertical="center"/>
    </xf>
    <xf numFmtId="0" fontId="8" fillId="0" borderId="0" xfId="0" applyFont="1"/>
    <xf numFmtId="0" fontId="3" fillId="2" borderId="1" xfId="0" applyFont="1" applyFill="1" applyBorder="1" applyAlignment="1" applyProtection="1">
      <alignment horizontal="center" vertical="center"/>
    </xf>
    <xf numFmtId="0" fontId="20" fillId="0" borderId="7" xfId="0" applyFont="1" applyBorder="1" applyAlignment="1"/>
    <xf numFmtId="0" fontId="15" fillId="0" borderId="1" xfId="0" applyFont="1" applyBorder="1" applyAlignment="1" applyProtection="1">
      <alignment horizontal="center" vertical="center"/>
    </xf>
    <xf numFmtId="0" fontId="4" fillId="0" borderId="1" xfId="0" applyFont="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3" borderId="1" xfId="0" applyFont="1" applyFill="1" applyBorder="1" applyAlignment="1" applyProtection="1">
      <alignment vertical="center"/>
    </xf>
    <xf numFmtId="0" fontId="11" fillId="4" borderId="2" xfId="0" applyFont="1" applyFill="1" applyBorder="1" applyAlignment="1" applyProtection="1">
      <alignment horizontal="center" vertical="center"/>
      <protection locked="0"/>
    </xf>
    <xf numFmtId="0" fontId="11" fillId="4" borderId="3" xfId="0" applyFont="1" applyFill="1" applyBorder="1" applyAlignment="1" applyProtection="1">
      <alignment horizontal="center" vertical="center"/>
      <protection locked="0"/>
    </xf>
    <xf numFmtId="0" fontId="16" fillId="5" borderId="2" xfId="0" applyFont="1" applyFill="1" applyBorder="1" applyAlignment="1">
      <alignment horizontal="center" vertical="center"/>
    </xf>
    <xf numFmtId="0" fontId="16" fillId="5" borderId="3"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9" fillId="0" borderId="1" xfId="0" applyFont="1" applyBorder="1" applyAlignment="1">
      <alignment horizontal="center" vertical="center"/>
    </xf>
    <xf numFmtId="0" fontId="13" fillId="0" borderId="1" xfId="0" applyFont="1" applyBorder="1" applyAlignment="1" applyProtection="1">
      <alignment wrapText="1"/>
    </xf>
    <xf numFmtId="0" fontId="9" fillId="0" borderId="1" xfId="0" applyFont="1" applyBorder="1" applyAlignment="1" applyProtection="1">
      <alignment wrapText="1"/>
    </xf>
    <xf numFmtId="0" fontId="13" fillId="3" borderId="1" xfId="0" applyFont="1" applyFill="1" applyBorder="1" applyAlignment="1" applyProtection="1">
      <alignment vertical="center"/>
    </xf>
    <xf numFmtId="0" fontId="17" fillId="5" borderId="3" xfId="0" applyFont="1" applyFill="1" applyBorder="1" applyAlignment="1">
      <alignment horizontal="center" vertic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0" fillId="0" borderId="1" xfId="0" applyBorder="1" applyAlignment="1">
      <alignment horizontal="center" vertical="center"/>
    </xf>
    <xf numFmtId="0" fontId="9" fillId="3" borderId="4" xfId="0" applyFont="1" applyFill="1" applyBorder="1" applyAlignment="1" applyProtection="1">
      <alignment horizontal="left" vertical="center"/>
    </xf>
    <xf numFmtId="0" fontId="9" fillId="3" borderId="5" xfId="0" applyFont="1" applyFill="1" applyBorder="1" applyAlignment="1" applyProtection="1">
      <alignment horizontal="left" vertical="center"/>
    </xf>
    <xf numFmtId="0" fontId="9" fillId="3" borderId="6" xfId="0" applyFont="1" applyFill="1" applyBorder="1" applyAlignment="1" applyProtection="1">
      <alignment horizontal="left" vertical="center"/>
    </xf>
    <xf numFmtId="0" fontId="9" fillId="0" borderId="4" xfId="0" applyFont="1" applyBorder="1" applyAlignment="1" applyProtection="1">
      <alignment wrapText="1"/>
    </xf>
    <xf numFmtId="0" fontId="9" fillId="0" borderId="5" xfId="0" applyFont="1" applyBorder="1" applyAlignment="1" applyProtection="1">
      <alignment wrapText="1"/>
    </xf>
    <xf numFmtId="0" fontId="9" fillId="0" borderId="6" xfId="0" applyFont="1" applyBorder="1" applyAlignment="1" applyProtection="1">
      <alignment wrapText="1"/>
    </xf>
    <xf numFmtId="0" fontId="9" fillId="3" borderId="4" xfId="0" applyFont="1" applyFill="1" applyBorder="1" applyAlignment="1" applyProtection="1">
      <alignment vertical="center"/>
    </xf>
    <xf numFmtId="0" fontId="9" fillId="3" borderId="5" xfId="0" applyFont="1" applyFill="1" applyBorder="1" applyAlignment="1" applyProtection="1">
      <alignment vertical="center"/>
    </xf>
    <xf numFmtId="0" fontId="9" fillId="3" borderId="6" xfId="0" applyFont="1" applyFill="1" applyBorder="1" applyAlignment="1" applyProtection="1">
      <alignment vertical="center"/>
    </xf>
    <xf numFmtId="0" fontId="9" fillId="3" borderId="1" xfId="0" applyFont="1" applyFill="1" applyBorder="1" applyAlignment="1" applyProtection="1">
      <alignment vertical="center" wrapText="1"/>
    </xf>
    <xf numFmtId="0" fontId="13" fillId="0" borderId="1" xfId="0" applyFont="1" applyBorder="1" applyProtection="1"/>
    <xf numFmtId="0" fontId="12" fillId="0" borderId="1" xfId="0" applyFont="1" applyBorder="1" applyAlignment="1" applyProtection="1">
      <alignment wrapText="1"/>
    </xf>
    <xf numFmtId="0" fontId="12" fillId="2" borderId="2" xfId="0" applyFont="1" applyFill="1" applyBorder="1" applyAlignment="1" applyProtection="1">
      <alignment horizontal="center" vertical="center"/>
    </xf>
    <xf numFmtId="0" fontId="12" fillId="2" borderId="3" xfId="0" applyFont="1" applyFill="1" applyBorder="1" applyAlignment="1" applyProtection="1">
      <alignment horizontal="center" vertical="center"/>
    </xf>
    <xf numFmtId="0" fontId="12" fillId="3" borderId="1" xfId="0" applyFont="1" applyFill="1" applyBorder="1" applyAlignment="1" applyProtection="1">
      <alignment vertical="center"/>
    </xf>
    <xf numFmtId="0" fontId="8" fillId="0" borderId="0" xfId="0" applyFont="1"/>
    <xf numFmtId="0" fontId="9" fillId="3" borderId="8" xfId="0" applyFont="1" applyFill="1" applyBorder="1" applyAlignment="1" applyProtection="1">
      <alignment horizontal="center" vertical="center"/>
    </xf>
    <xf numFmtId="0" fontId="9" fillId="3" borderId="9" xfId="0" applyFont="1" applyFill="1" applyBorder="1" applyAlignment="1" applyProtection="1">
      <alignment horizontal="center" vertical="center"/>
    </xf>
    <xf numFmtId="0" fontId="9" fillId="3" borderId="10" xfId="0" applyFont="1" applyFill="1" applyBorder="1" applyAlignment="1" applyProtection="1">
      <alignment horizontal="center" vertical="center"/>
    </xf>
    <xf numFmtId="0" fontId="9" fillId="3" borderId="11"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9" fillId="3" borderId="12" xfId="0" applyFont="1" applyFill="1" applyBorder="1" applyAlignment="1" applyProtection="1">
      <alignment horizontal="center" vertical="center"/>
    </xf>
    <xf numFmtId="0" fontId="9" fillId="3" borderId="1" xfId="0" applyFont="1" applyFill="1" applyBorder="1" applyAlignment="1" applyProtection="1">
      <alignment vertical="top" wrapText="1"/>
    </xf>
    <xf numFmtId="0" fontId="9" fillId="3" borderId="1" xfId="0" applyFont="1" applyFill="1" applyBorder="1" applyAlignment="1" applyProtection="1">
      <alignment vertical="top"/>
    </xf>
    <xf numFmtId="0" fontId="9" fillId="3" borderId="1" xfId="0" applyFont="1" applyFill="1" applyBorder="1" applyAlignment="1" applyProtection="1">
      <alignment horizontal="left" vertical="center" wrapText="1"/>
    </xf>
    <xf numFmtId="0" fontId="9" fillId="3" borderId="1" xfId="0" applyFont="1" applyFill="1" applyBorder="1" applyAlignment="1" applyProtection="1">
      <alignment horizontal="lef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1285875</xdr:colOff>
      <xdr:row>1</xdr:row>
      <xdr:rowOff>38100</xdr:rowOff>
    </xdr:from>
    <xdr:to>
      <xdr:col>10</xdr:col>
      <xdr:colOff>2257425</xdr:colOff>
      <xdr:row>1</xdr:row>
      <xdr:rowOff>428625</xdr:rowOff>
    </xdr:to>
    <xdr:sp macro="[0]!矩形圆角2_Click" textlink="">
      <xdr:nvSpPr>
        <xdr:cNvPr id="3" name="矩形: 圆角 2">
          <a:extLst>
            <a:ext uri="{FF2B5EF4-FFF2-40B4-BE49-F238E27FC236}">
              <a16:creationId xmlns:a16="http://schemas.microsoft.com/office/drawing/2014/main" id="{B1EA1A9B-7DE6-4324-B33F-082242BB5E6C}"/>
            </a:ext>
          </a:extLst>
        </xdr:cNvPr>
        <xdr:cNvSpPr/>
      </xdr:nvSpPr>
      <xdr:spPr>
        <a:xfrm>
          <a:off x="11001375" y="314325"/>
          <a:ext cx="971550" cy="390525"/>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800">
              <a:solidFill>
                <a:srgbClr val="00B0F0"/>
              </a:solidFill>
            </a:rPr>
            <a:t>批改</a:t>
          </a:r>
        </a:p>
      </xdr:txBody>
    </xdr:sp>
    <xdr:clientData/>
  </xdr:twoCellAnchor>
  <xdr:twoCellAnchor>
    <xdr:from>
      <xdr:col>13</xdr:col>
      <xdr:colOff>1314450</xdr:colOff>
      <xdr:row>1</xdr:row>
      <xdr:rowOff>38100</xdr:rowOff>
    </xdr:from>
    <xdr:to>
      <xdr:col>13</xdr:col>
      <xdr:colOff>2286000</xdr:colOff>
      <xdr:row>1</xdr:row>
      <xdr:rowOff>428625</xdr:rowOff>
    </xdr:to>
    <xdr:sp macro="[0]!矩形圆角3_Click" textlink="">
      <xdr:nvSpPr>
        <xdr:cNvPr id="4" name="矩形: 圆角 3">
          <a:extLst>
            <a:ext uri="{FF2B5EF4-FFF2-40B4-BE49-F238E27FC236}">
              <a16:creationId xmlns:a16="http://schemas.microsoft.com/office/drawing/2014/main" id="{8079349D-E111-4360-BE2B-4404C702F91F}"/>
            </a:ext>
          </a:extLst>
        </xdr:cNvPr>
        <xdr:cNvSpPr/>
      </xdr:nvSpPr>
      <xdr:spPr>
        <a:xfrm>
          <a:off x="14735175" y="314325"/>
          <a:ext cx="971550" cy="390525"/>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800">
              <a:solidFill>
                <a:srgbClr val="00B0F0"/>
              </a:solidFill>
            </a:rPr>
            <a:t>重做</a:t>
          </a:r>
        </a:p>
      </xdr:txBody>
    </xdr:sp>
    <xdr:clientData/>
  </xdr:twoCellAnchor>
  <xdr:twoCellAnchor>
    <xdr:from>
      <xdr:col>13</xdr:col>
      <xdr:colOff>247650</xdr:colOff>
      <xdr:row>1</xdr:row>
      <xdr:rowOff>38100</xdr:rowOff>
    </xdr:from>
    <xdr:to>
      <xdr:col>13</xdr:col>
      <xdr:colOff>1219200</xdr:colOff>
      <xdr:row>1</xdr:row>
      <xdr:rowOff>428625</xdr:rowOff>
    </xdr:to>
    <xdr:sp macro="[0]!矩形圆角4_Click" textlink="">
      <xdr:nvSpPr>
        <xdr:cNvPr id="5" name="矩形: 圆角 4">
          <a:extLst>
            <a:ext uri="{FF2B5EF4-FFF2-40B4-BE49-F238E27FC236}">
              <a16:creationId xmlns:a16="http://schemas.microsoft.com/office/drawing/2014/main" id="{F97BB07B-6B9B-48D0-9B2F-9ECCA56A1D08}"/>
            </a:ext>
          </a:extLst>
        </xdr:cNvPr>
        <xdr:cNvSpPr/>
      </xdr:nvSpPr>
      <xdr:spPr>
        <a:xfrm>
          <a:off x="13744575" y="38100"/>
          <a:ext cx="971550" cy="390525"/>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800">
              <a:solidFill>
                <a:srgbClr val="00B0F0"/>
              </a:solidFill>
            </a:rPr>
            <a:t>继续</a:t>
          </a:r>
        </a:p>
      </xdr:txBody>
    </xdr:sp>
    <xdr:clientData/>
  </xdr:twoCellAnchor>
  <xdr:twoCellAnchor>
    <xdr:from>
      <xdr:col>2</xdr:col>
      <xdr:colOff>409575</xdr:colOff>
      <xdr:row>1</xdr:row>
      <xdr:rowOff>209549</xdr:rowOff>
    </xdr:from>
    <xdr:to>
      <xdr:col>3</xdr:col>
      <xdr:colOff>514350</xdr:colOff>
      <xdr:row>2</xdr:row>
      <xdr:rowOff>4349</xdr:rowOff>
    </xdr:to>
    <xdr:sp macro="[0]!矩形圆角5_Click" textlink="">
      <xdr:nvSpPr>
        <xdr:cNvPr id="6" name="矩形: 圆角 5">
          <a:extLst>
            <a:ext uri="{FF2B5EF4-FFF2-40B4-BE49-F238E27FC236}">
              <a16:creationId xmlns:a16="http://schemas.microsoft.com/office/drawing/2014/main" id="{82723789-9FEA-4BCB-850B-C3F3E77BD16B}"/>
            </a:ext>
          </a:extLst>
        </xdr:cNvPr>
        <xdr:cNvSpPr/>
      </xdr:nvSpPr>
      <xdr:spPr>
        <a:xfrm>
          <a:off x="1343025" y="209549"/>
          <a:ext cx="790575" cy="252000"/>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800">
              <a:solidFill>
                <a:schemeClr val="bg2">
                  <a:lumMod val="25000"/>
                </a:schemeClr>
              </a:solidFill>
            </a:rPr>
            <a:t>1-100</a:t>
          </a:r>
          <a:endParaRPr lang="zh-CN" altLang="en-US" sz="1800">
            <a:solidFill>
              <a:schemeClr val="bg2">
                <a:lumMod val="25000"/>
              </a:schemeClr>
            </a:solidFill>
          </a:endParaRPr>
        </a:p>
      </xdr:txBody>
    </xdr:sp>
    <xdr:clientData/>
  </xdr:twoCellAnchor>
  <xdr:twoCellAnchor>
    <xdr:from>
      <xdr:col>3</xdr:col>
      <xdr:colOff>600076</xdr:colOff>
      <xdr:row>1</xdr:row>
      <xdr:rowOff>208723</xdr:rowOff>
    </xdr:from>
    <xdr:to>
      <xdr:col>4</xdr:col>
      <xdr:colOff>922276</xdr:colOff>
      <xdr:row>2</xdr:row>
      <xdr:rowOff>3523</xdr:rowOff>
    </xdr:to>
    <xdr:sp macro="[0]!矩形圆角6_Click" textlink="">
      <xdr:nvSpPr>
        <xdr:cNvPr id="7" name="矩形: 圆角 6">
          <a:extLst>
            <a:ext uri="{FF2B5EF4-FFF2-40B4-BE49-F238E27FC236}">
              <a16:creationId xmlns:a16="http://schemas.microsoft.com/office/drawing/2014/main" id="{BDA5372B-D3D3-4E6E-B5CF-08395A60FD41}"/>
            </a:ext>
          </a:extLst>
        </xdr:cNvPr>
        <xdr:cNvSpPr/>
      </xdr:nvSpPr>
      <xdr:spPr>
        <a:xfrm>
          <a:off x="2219326" y="208723"/>
          <a:ext cx="1008000" cy="252000"/>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800">
              <a:solidFill>
                <a:schemeClr val="bg2">
                  <a:lumMod val="25000"/>
                </a:schemeClr>
              </a:solidFill>
            </a:rPr>
            <a:t>101-200</a:t>
          </a:r>
          <a:endParaRPr lang="zh-CN" altLang="en-US" sz="1800">
            <a:solidFill>
              <a:schemeClr val="bg2">
                <a:lumMod val="25000"/>
              </a:schemeClr>
            </a:solidFill>
          </a:endParaRPr>
        </a:p>
      </xdr:txBody>
    </xdr:sp>
    <xdr:clientData/>
  </xdr:twoCellAnchor>
  <xdr:twoCellAnchor>
    <xdr:from>
      <xdr:col>4</xdr:col>
      <xdr:colOff>1009650</xdr:colOff>
      <xdr:row>1</xdr:row>
      <xdr:rowOff>209549</xdr:rowOff>
    </xdr:from>
    <xdr:to>
      <xdr:col>4</xdr:col>
      <xdr:colOff>2017650</xdr:colOff>
      <xdr:row>2</xdr:row>
      <xdr:rowOff>4349</xdr:rowOff>
    </xdr:to>
    <xdr:sp macro="[0]!矩形圆角7_Click" textlink="">
      <xdr:nvSpPr>
        <xdr:cNvPr id="8" name="矩形: 圆角 7">
          <a:extLst>
            <a:ext uri="{FF2B5EF4-FFF2-40B4-BE49-F238E27FC236}">
              <a16:creationId xmlns:a16="http://schemas.microsoft.com/office/drawing/2014/main" id="{7397B77C-5D52-45ED-901C-6A1EB3930567}"/>
            </a:ext>
          </a:extLst>
        </xdr:cNvPr>
        <xdr:cNvSpPr/>
      </xdr:nvSpPr>
      <xdr:spPr>
        <a:xfrm>
          <a:off x="3314700" y="209549"/>
          <a:ext cx="1008000" cy="252000"/>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800">
              <a:solidFill>
                <a:schemeClr val="bg2">
                  <a:lumMod val="25000"/>
                </a:schemeClr>
              </a:solidFill>
            </a:rPr>
            <a:t>201-328</a:t>
          </a:r>
          <a:endParaRPr lang="zh-CN" altLang="en-US" sz="1800">
            <a:solidFill>
              <a:schemeClr val="bg2">
                <a:lumMod val="25000"/>
              </a:schemeClr>
            </a:solidFill>
          </a:endParaRPr>
        </a:p>
      </xdr:txBody>
    </xdr:sp>
    <xdr:clientData/>
  </xdr:twoCellAnchor>
  <xdr:twoCellAnchor>
    <xdr:from>
      <xdr:col>4</xdr:col>
      <xdr:colOff>2114550</xdr:colOff>
      <xdr:row>1</xdr:row>
      <xdr:rowOff>209549</xdr:rowOff>
    </xdr:from>
    <xdr:to>
      <xdr:col>7</xdr:col>
      <xdr:colOff>47625</xdr:colOff>
      <xdr:row>2</xdr:row>
      <xdr:rowOff>4349</xdr:rowOff>
    </xdr:to>
    <xdr:sp macro="[0]!矩形圆角8_Click" textlink="">
      <xdr:nvSpPr>
        <xdr:cNvPr id="9" name="矩形: 圆角 8">
          <a:extLst>
            <a:ext uri="{FF2B5EF4-FFF2-40B4-BE49-F238E27FC236}">
              <a16:creationId xmlns:a16="http://schemas.microsoft.com/office/drawing/2014/main" id="{95D838A3-8F9C-4093-9886-3B46338F7884}"/>
            </a:ext>
          </a:extLst>
        </xdr:cNvPr>
        <xdr:cNvSpPr/>
      </xdr:nvSpPr>
      <xdr:spPr>
        <a:xfrm>
          <a:off x="4419600" y="209549"/>
          <a:ext cx="1638300" cy="252000"/>
        </a:xfrm>
        <a:prstGeom prst="round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solidFill>
                <a:schemeClr val="bg2">
                  <a:lumMod val="25000"/>
                </a:schemeClr>
              </a:solidFill>
            </a:rPr>
            <a:t>随机抽取</a:t>
          </a:r>
          <a:r>
            <a:rPr lang="en-US" altLang="zh-CN" sz="1800">
              <a:solidFill>
                <a:schemeClr val="bg2">
                  <a:lumMod val="25000"/>
                </a:schemeClr>
              </a:solidFill>
            </a:rPr>
            <a:t>50</a:t>
          </a:r>
          <a:r>
            <a:rPr lang="zh-CN" altLang="en-US" sz="1800">
              <a:solidFill>
                <a:schemeClr val="bg2">
                  <a:lumMod val="25000"/>
                </a:schemeClr>
              </a:solidFill>
            </a:rPr>
            <a:t>题</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899"/>
  <sheetViews>
    <sheetView tabSelected="1" zoomScale="68" zoomScaleNormal="100" workbookViewId="0">
      <pane ySplit="2" topLeftCell="A3" activePane="bottomLeft" state="frozen"/>
      <selection pane="bottomLeft" activeCell="O34" sqref="O34:O35"/>
    </sheetView>
  </sheetViews>
  <sheetFormatPr defaultRowHeight="40" customHeight="1"/>
  <cols>
    <col min="1" max="1" width="6.5" customWidth="1"/>
    <col min="2" max="2" width="5.75" customWidth="1"/>
    <col min="5" max="5" width="30.58203125" customWidth="1"/>
    <col min="8" max="8" width="30.58203125" customWidth="1"/>
    <col min="11" max="11" width="30.58203125" customWidth="1"/>
    <col min="12" max="12" width="10" customWidth="1"/>
    <col min="14" max="14" width="30.58203125" customWidth="1"/>
    <col min="15" max="15" width="9.83203125" customWidth="1"/>
    <col min="16" max="16" width="9.33203125" hidden="1" customWidth="1"/>
    <col min="17" max="23" width="9" hidden="1" customWidth="1"/>
    <col min="24" max="41" width="9" customWidth="1"/>
    <col min="257" max="257" width="6.5" customWidth="1"/>
    <col min="258" max="258" width="5.75" customWidth="1"/>
    <col min="261" max="261" width="50.58203125" customWidth="1"/>
    <col min="264" max="264" width="50.58203125" customWidth="1"/>
    <col min="267" max="267" width="50.58203125" customWidth="1"/>
    <col min="270" max="270" width="50.58203125" customWidth="1"/>
    <col min="271" max="271" width="9.83203125" customWidth="1"/>
    <col min="272" max="272" width="9.33203125" customWidth="1"/>
    <col min="513" max="513" width="6.5" customWidth="1"/>
    <col min="514" max="514" width="5.75" customWidth="1"/>
    <col min="517" max="517" width="50.58203125" customWidth="1"/>
    <col min="520" max="520" width="50.58203125" customWidth="1"/>
    <col min="523" max="523" width="50.58203125" customWidth="1"/>
    <col min="526" max="526" width="50.58203125" customWidth="1"/>
    <col min="527" max="527" width="9.83203125" customWidth="1"/>
    <col min="528" max="528" width="9.33203125" customWidth="1"/>
    <col min="769" max="769" width="6.5" customWidth="1"/>
    <col min="770" max="770" width="5.75" customWidth="1"/>
    <col min="773" max="773" width="50.58203125" customWidth="1"/>
    <col min="776" max="776" width="50.58203125" customWidth="1"/>
    <col min="779" max="779" width="50.58203125" customWidth="1"/>
    <col min="782" max="782" width="50.58203125" customWidth="1"/>
    <col min="783" max="783" width="9.83203125" customWidth="1"/>
    <col min="784" max="784" width="9.33203125" customWidth="1"/>
    <col min="1025" max="1025" width="6.5" customWidth="1"/>
    <col min="1026" max="1026" width="5.75" customWidth="1"/>
    <col min="1029" max="1029" width="50.58203125" customWidth="1"/>
    <col min="1032" max="1032" width="50.58203125" customWidth="1"/>
    <col min="1035" max="1035" width="50.58203125" customWidth="1"/>
    <col min="1038" max="1038" width="50.58203125" customWidth="1"/>
    <col min="1039" max="1039" width="9.83203125" customWidth="1"/>
    <col min="1040" max="1040" width="9.33203125" customWidth="1"/>
    <col min="1281" max="1281" width="6.5" customWidth="1"/>
    <col min="1282" max="1282" width="5.75" customWidth="1"/>
    <col min="1285" max="1285" width="50.58203125" customWidth="1"/>
    <col min="1288" max="1288" width="50.58203125" customWidth="1"/>
    <col min="1291" max="1291" width="50.58203125" customWidth="1"/>
    <col min="1294" max="1294" width="50.58203125" customWidth="1"/>
    <col min="1295" max="1295" width="9.83203125" customWidth="1"/>
    <col min="1296" max="1296" width="9.33203125" customWidth="1"/>
    <col min="1537" max="1537" width="6.5" customWidth="1"/>
    <col min="1538" max="1538" width="5.75" customWidth="1"/>
    <col min="1541" max="1541" width="50.58203125" customWidth="1"/>
    <col min="1544" max="1544" width="50.58203125" customWidth="1"/>
    <col min="1547" max="1547" width="50.58203125" customWidth="1"/>
    <col min="1550" max="1550" width="50.58203125" customWidth="1"/>
    <col min="1551" max="1551" width="9.83203125" customWidth="1"/>
    <col min="1552" max="1552" width="9.33203125" customWidth="1"/>
    <col min="1793" max="1793" width="6.5" customWidth="1"/>
    <col min="1794" max="1794" width="5.75" customWidth="1"/>
    <col min="1797" max="1797" width="50.58203125" customWidth="1"/>
    <col min="1800" max="1800" width="50.58203125" customWidth="1"/>
    <col min="1803" max="1803" width="50.58203125" customWidth="1"/>
    <col min="1806" max="1806" width="50.58203125" customWidth="1"/>
    <col min="1807" max="1807" width="9.83203125" customWidth="1"/>
    <col min="1808" max="1808" width="9.33203125" customWidth="1"/>
    <col min="2049" max="2049" width="6.5" customWidth="1"/>
    <col min="2050" max="2050" width="5.75" customWidth="1"/>
    <col min="2053" max="2053" width="50.58203125" customWidth="1"/>
    <col min="2056" max="2056" width="50.58203125" customWidth="1"/>
    <col min="2059" max="2059" width="50.58203125" customWidth="1"/>
    <col min="2062" max="2062" width="50.58203125" customWidth="1"/>
    <col min="2063" max="2063" width="9.83203125" customWidth="1"/>
    <col min="2064" max="2064" width="9.33203125" customWidth="1"/>
    <col min="2305" max="2305" width="6.5" customWidth="1"/>
    <col min="2306" max="2306" width="5.75" customWidth="1"/>
    <col min="2309" max="2309" width="50.58203125" customWidth="1"/>
    <col min="2312" max="2312" width="50.58203125" customWidth="1"/>
    <col min="2315" max="2315" width="50.58203125" customWidth="1"/>
    <col min="2318" max="2318" width="50.58203125" customWidth="1"/>
    <col min="2319" max="2319" width="9.83203125" customWidth="1"/>
    <col min="2320" max="2320" width="9.33203125" customWidth="1"/>
    <col min="2561" max="2561" width="6.5" customWidth="1"/>
    <col min="2562" max="2562" width="5.75" customWidth="1"/>
    <col min="2565" max="2565" width="50.58203125" customWidth="1"/>
    <col min="2568" max="2568" width="50.58203125" customWidth="1"/>
    <col min="2571" max="2571" width="50.58203125" customWidth="1"/>
    <col min="2574" max="2574" width="50.58203125" customWidth="1"/>
    <col min="2575" max="2575" width="9.83203125" customWidth="1"/>
    <col min="2576" max="2576" width="9.33203125" customWidth="1"/>
    <col min="2817" max="2817" width="6.5" customWidth="1"/>
    <col min="2818" max="2818" width="5.75" customWidth="1"/>
    <col min="2821" max="2821" width="50.58203125" customWidth="1"/>
    <col min="2824" max="2824" width="50.58203125" customWidth="1"/>
    <col min="2827" max="2827" width="50.58203125" customWidth="1"/>
    <col min="2830" max="2830" width="50.58203125" customWidth="1"/>
    <col min="2831" max="2831" width="9.83203125" customWidth="1"/>
    <col min="2832" max="2832" width="9.33203125" customWidth="1"/>
    <col min="3073" max="3073" width="6.5" customWidth="1"/>
    <col min="3074" max="3074" width="5.75" customWidth="1"/>
    <col min="3077" max="3077" width="50.58203125" customWidth="1"/>
    <col min="3080" max="3080" width="50.58203125" customWidth="1"/>
    <col min="3083" max="3083" width="50.58203125" customWidth="1"/>
    <col min="3086" max="3086" width="50.58203125" customWidth="1"/>
    <col min="3087" max="3087" width="9.83203125" customWidth="1"/>
    <col min="3088" max="3088" width="9.33203125" customWidth="1"/>
    <col min="3329" max="3329" width="6.5" customWidth="1"/>
    <col min="3330" max="3330" width="5.75" customWidth="1"/>
    <col min="3333" max="3333" width="50.58203125" customWidth="1"/>
    <col min="3336" max="3336" width="50.58203125" customWidth="1"/>
    <col min="3339" max="3339" width="50.58203125" customWidth="1"/>
    <col min="3342" max="3342" width="50.58203125" customWidth="1"/>
    <col min="3343" max="3343" width="9.83203125" customWidth="1"/>
    <col min="3344" max="3344" width="9.33203125" customWidth="1"/>
    <col min="3585" max="3585" width="6.5" customWidth="1"/>
    <col min="3586" max="3586" width="5.75" customWidth="1"/>
    <col min="3589" max="3589" width="50.58203125" customWidth="1"/>
    <col min="3592" max="3592" width="50.58203125" customWidth="1"/>
    <col min="3595" max="3595" width="50.58203125" customWidth="1"/>
    <col min="3598" max="3598" width="50.58203125" customWidth="1"/>
    <col min="3599" max="3599" width="9.83203125" customWidth="1"/>
    <col min="3600" max="3600" width="9.33203125" customWidth="1"/>
    <col min="3841" max="3841" width="6.5" customWidth="1"/>
    <col min="3842" max="3842" width="5.75" customWidth="1"/>
    <col min="3845" max="3845" width="50.58203125" customWidth="1"/>
    <col min="3848" max="3848" width="50.58203125" customWidth="1"/>
    <col min="3851" max="3851" width="50.58203125" customWidth="1"/>
    <col min="3854" max="3854" width="50.58203125" customWidth="1"/>
    <col min="3855" max="3855" width="9.83203125" customWidth="1"/>
    <col min="3856" max="3856" width="9.33203125" customWidth="1"/>
    <col min="4097" max="4097" width="6.5" customWidth="1"/>
    <col min="4098" max="4098" width="5.75" customWidth="1"/>
    <col min="4101" max="4101" width="50.58203125" customWidth="1"/>
    <col min="4104" max="4104" width="50.58203125" customWidth="1"/>
    <col min="4107" max="4107" width="50.58203125" customWidth="1"/>
    <col min="4110" max="4110" width="50.58203125" customWidth="1"/>
    <col min="4111" max="4111" width="9.83203125" customWidth="1"/>
    <col min="4112" max="4112" width="9.33203125" customWidth="1"/>
    <col min="4353" max="4353" width="6.5" customWidth="1"/>
    <col min="4354" max="4354" width="5.75" customWidth="1"/>
    <col min="4357" max="4357" width="50.58203125" customWidth="1"/>
    <col min="4360" max="4360" width="50.58203125" customWidth="1"/>
    <col min="4363" max="4363" width="50.58203125" customWidth="1"/>
    <col min="4366" max="4366" width="50.58203125" customWidth="1"/>
    <col min="4367" max="4367" width="9.83203125" customWidth="1"/>
    <col min="4368" max="4368" width="9.33203125" customWidth="1"/>
    <col min="4609" max="4609" width="6.5" customWidth="1"/>
    <col min="4610" max="4610" width="5.75" customWidth="1"/>
    <col min="4613" max="4613" width="50.58203125" customWidth="1"/>
    <col min="4616" max="4616" width="50.58203125" customWidth="1"/>
    <col min="4619" max="4619" width="50.58203125" customWidth="1"/>
    <col min="4622" max="4622" width="50.58203125" customWidth="1"/>
    <col min="4623" max="4623" width="9.83203125" customWidth="1"/>
    <col min="4624" max="4624" width="9.33203125" customWidth="1"/>
    <col min="4865" max="4865" width="6.5" customWidth="1"/>
    <col min="4866" max="4866" width="5.75" customWidth="1"/>
    <col min="4869" max="4869" width="50.58203125" customWidth="1"/>
    <col min="4872" max="4872" width="50.58203125" customWidth="1"/>
    <col min="4875" max="4875" width="50.58203125" customWidth="1"/>
    <col min="4878" max="4878" width="50.58203125" customWidth="1"/>
    <col min="4879" max="4879" width="9.83203125" customWidth="1"/>
    <col min="4880" max="4880" width="9.33203125" customWidth="1"/>
    <col min="5121" max="5121" width="6.5" customWidth="1"/>
    <col min="5122" max="5122" width="5.75" customWidth="1"/>
    <col min="5125" max="5125" width="50.58203125" customWidth="1"/>
    <col min="5128" max="5128" width="50.58203125" customWidth="1"/>
    <col min="5131" max="5131" width="50.58203125" customWidth="1"/>
    <col min="5134" max="5134" width="50.58203125" customWidth="1"/>
    <col min="5135" max="5135" width="9.83203125" customWidth="1"/>
    <col min="5136" max="5136" width="9.33203125" customWidth="1"/>
    <col min="5377" max="5377" width="6.5" customWidth="1"/>
    <col min="5378" max="5378" width="5.75" customWidth="1"/>
    <col min="5381" max="5381" width="50.58203125" customWidth="1"/>
    <col min="5384" max="5384" width="50.58203125" customWidth="1"/>
    <col min="5387" max="5387" width="50.58203125" customWidth="1"/>
    <col min="5390" max="5390" width="50.58203125" customWidth="1"/>
    <col min="5391" max="5391" width="9.83203125" customWidth="1"/>
    <col min="5392" max="5392" width="9.33203125" customWidth="1"/>
    <col min="5633" max="5633" width="6.5" customWidth="1"/>
    <col min="5634" max="5634" width="5.75" customWidth="1"/>
    <col min="5637" max="5637" width="50.58203125" customWidth="1"/>
    <col min="5640" max="5640" width="50.58203125" customWidth="1"/>
    <col min="5643" max="5643" width="50.58203125" customWidth="1"/>
    <col min="5646" max="5646" width="50.58203125" customWidth="1"/>
    <col min="5647" max="5647" width="9.83203125" customWidth="1"/>
    <col min="5648" max="5648" width="9.33203125" customWidth="1"/>
    <col min="5889" max="5889" width="6.5" customWidth="1"/>
    <col min="5890" max="5890" width="5.75" customWidth="1"/>
    <col min="5893" max="5893" width="50.58203125" customWidth="1"/>
    <col min="5896" max="5896" width="50.58203125" customWidth="1"/>
    <col min="5899" max="5899" width="50.58203125" customWidth="1"/>
    <col min="5902" max="5902" width="50.58203125" customWidth="1"/>
    <col min="5903" max="5903" width="9.83203125" customWidth="1"/>
    <col min="5904" max="5904" width="9.33203125" customWidth="1"/>
    <col min="6145" max="6145" width="6.5" customWidth="1"/>
    <col min="6146" max="6146" width="5.75" customWidth="1"/>
    <col min="6149" max="6149" width="50.58203125" customWidth="1"/>
    <col min="6152" max="6152" width="50.58203125" customWidth="1"/>
    <col min="6155" max="6155" width="50.58203125" customWidth="1"/>
    <col min="6158" max="6158" width="50.58203125" customWidth="1"/>
    <col min="6159" max="6159" width="9.83203125" customWidth="1"/>
    <col min="6160" max="6160" width="9.33203125" customWidth="1"/>
    <col min="6401" max="6401" width="6.5" customWidth="1"/>
    <col min="6402" max="6402" width="5.75" customWidth="1"/>
    <col min="6405" max="6405" width="50.58203125" customWidth="1"/>
    <col min="6408" max="6408" width="50.58203125" customWidth="1"/>
    <col min="6411" max="6411" width="50.58203125" customWidth="1"/>
    <col min="6414" max="6414" width="50.58203125" customWidth="1"/>
    <col min="6415" max="6415" width="9.83203125" customWidth="1"/>
    <col min="6416" max="6416" width="9.33203125" customWidth="1"/>
    <col min="6657" max="6657" width="6.5" customWidth="1"/>
    <col min="6658" max="6658" width="5.75" customWidth="1"/>
    <col min="6661" max="6661" width="50.58203125" customWidth="1"/>
    <col min="6664" max="6664" width="50.58203125" customWidth="1"/>
    <col min="6667" max="6667" width="50.58203125" customWidth="1"/>
    <col min="6670" max="6670" width="50.58203125" customWidth="1"/>
    <col min="6671" max="6671" width="9.83203125" customWidth="1"/>
    <col min="6672" max="6672" width="9.33203125" customWidth="1"/>
    <col min="6913" max="6913" width="6.5" customWidth="1"/>
    <col min="6914" max="6914" width="5.75" customWidth="1"/>
    <col min="6917" max="6917" width="50.58203125" customWidth="1"/>
    <col min="6920" max="6920" width="50.58203125" customWidth="1"/>
    <col min="6923" max="6923" width="50.58203125" customWidth="1"/>
    <col min="6926" max="6926" width="50.58203125" customWidth="1"/>
    <col min="6927" max="6927" width="9.83203125" customWidth="1"/>
    <col min="6928" max="6928" width="9.33203125" customWidth="1"/>
    <col min="7169" max="7169" width="6.5" customWidth="1"/>
    <col min="7170" max="7170" width="5.75" customWidth="1"/>
    <col min="7173" max="7173" width="50.58203125" customWidth="1"/>
    <col min="7176" max="7176" width="50.58203125" customWidth="1"/>
    <col min="7179" max="7179" width="50.58203125" customWidth="1"/>
    <col min="7182" max="7182" width="50.58203125" customWidth="1"/>
    <col min="7183" max="7183" width="9.83203125" customWidth="1"/>
    <col min="7184" max="7184" width="9.33203125" customWidth="1"/>
    <col min="7425" max="7425" width="6.5" customWidth="1"/>
    <col min="7426" max="7426" width="5.75" customWidth="1"/>
    <col min="7429" max="7429" width="50.58203125" customWidth="1"/>
    <col min="7432" max="7432" width="50.58203125" customWidth="1"/>
    <col min="7435" max="7435" width="50.58203125" customWidth="1"/>
    <col min="7438" max="7438" width="50.58203125" customWidth="1"/>
    <col min="7439" max="7439" width="9.83203125" customWidth="1"/>
    <col min="7440" max="7440" width="9.33203125" customWidth="1"/>
    <col min="7681" max="7681" width="6.5" customWidth="1"/>
    <col min="7682" max="7682" width="5.75" customWidth="1"/>
    <col min="7685" max="7685" width="50.58203125" customWidth="1"/>
    <col min="7688" max="7688" width="50.58203125" customWidth="1"/>
    <col min="7691" max="7691" width="50.58203125" customWidth="1"/>
    <col min="7694" max="7694" width="50.58203125" customWidth="1"/>
    <col min="7695" max="7695" width="9.83203125" customWidth="1"/>
    <col min="7696" max="7696" width="9.33203125" customWidth="1"/>
    <col min="7937" max="7937" width="6.5" customWidth="1"/>
    <col min="7938" max="7938" width="5.75" customWidth="1"/>
    <col min="7941" max="7941" width="50.58203125" customWidth="1"/>
    <col min="7944" max="7944" width="50.58203125" customWidth="1"/>
    <col min="7947" max="7947" width="50.58203125" customWidth="1"/>
    <col min="7950" max="7950" width="50.58203125" customWidth="1"/>
    <col min="7951" max="7951" width="9.83203125" customWidth="1"/>
    <col min="7952" max="7952" width="9.33203125" customWidth="1"/>
    <col min="8193" max="8193" width="6.5" customWidth="1"/>
    <col min="8194" max="8194" width="5.75" customWidth="1"/>
    <col min="8197" max="8197" width="50.58203125" customWidth="1"/>
    <col min="8200" max="8200" width="50.58203125" customWidth="1"/>
    <col min="8203" max="8203" width="50.58203125" customWidth="1"/>
    <col min="8206" max="8206" width="50.58203125" customWidth="1"/>
    <col min="8207" max="8207" width="9.83203125" customWidth="1"/>
    <col min="8208" max="8208" width="9.33203125" customWidth="1"/>
    <col min="8449" max="8449" width="6.5" customWidth="1"/>
    <col min="8450" max="8450" width="5.75" customWidth="1"/>
    <col min="8453" max="8453" width="50.58203125" customWidth="1"/>
    <col min="8456" max="8456" width="50.58203125" customWidth="1"/>
    <col min="8459" max="8459" width="50.58203125" customWidth="1"/>
    <col min="8462" max="8462" width="50.58203125" customWidth="1"/>
    <col min="8463" max="8463" width="9.83203125" customWidth="1"/>
    <col min="8464" max="8464" width="9.33203125" customWidth="1"/>
    <col min="8705" max="8705" width="6.5" customWidth="1"/>
    <col min="8706" max="8706" width="5.75" customWidth="1"/>
    <col min="8709" max="8709" width="50.58203125" customWidth="1"/>
    <col min="8712" max="8712" width="50.58203125" customWidth="1"/>
    <col min="8715" max="8715" width="50.58203125" customWidth="1"/>
    <col min="8718" max="8718" width="50.58203125" customWidth="1"/>
    <col min="8719" max="8719" width="9.83203125" customWidth="1"/>
    <col min="8720" max="8720" width="9.33203125" customWidth="1"/>
    <col min="8961" max="8961" width="6.5" customWidth="1"/>
    <col min="8962" max="8962" width="5.75" customWidth="1"/>
    <col min="8965" max="8965" width="50.58203125" customWidth="1"/>
    <col min="8968" max="8968" width="50.58203125" customWidth="1"/>
    <col min="8971" max="8971" width="50.58203125" customWidth="1"/>
    <col min="8974" max="8974" width="50.58203125" customWidth="1"/>
    <col min="8975" max="8975" width="9.83203125" customWidth="1"/>
    <col min="8976" max="8976" width="9.33203125" customWidth="1"/>
    <col min="9217" max="9217" width="6.5" customWidth="1"/>
    <col min="9218" max="9218" width="5.75" customWidth="1"/>
    <col min="9221" max="9221" width="50.58203125" customWidth="1"/>
    <col min="9224" max="9224" width="50.58203125" customWidth="1"/>
    <col min="9227" max="9227" width="50.58203125" customWidth="1"/>
    <col min="9230" max="9230" width="50.58203125" customWidth="1"/>
    <col min="9231" max="9231" width="9.83203125" customWidth="1"/>
    <col min="9232" max="9232" width="9.33203125" customWidth="1"/>
    <col min="9473" max="9473" width="6.5" customWidth="1"/>
    <col min="9474" max="9474" width="5.75" customWidth="1"/>
    <col min="9477" max="9477" width="50.58203125" customWidth="1"/>
    <col min="9480" max="9480" width="50.58203125" customWidth="1"/>
    <col min="9483" max="9483" width="50.58203125" customWidth="1"/>
    <col min="9486" max="9486" width="50.58203125" customWidth="1"/>
    <col min="9487" max="9487" width="9.83203125" customWidth="1"/>
    <col min="9488" max="9488" width="9.33203125" customWidth="1"/>
    <col min="9729" max="9729" width="6.5" customWidth="1"/>
    <col min="9730" max="9730" width="5.75" customWidth="1"/>
    <col min="9733" max="9733" width="50.58203125" customWidth="1"/>
    <col min="9736" max="9736" width="50.58203125" customWidth="1"/>
    <col min="9739" max="9739" width="50.58203125" customWidth="1"/>
    <col min="9742" max="9742" width="50.58203125" customWidth="1"/>
    <col min="9743" max="9743" width="9.83203125" customWidth="1"/>
    <col min="9744" max="9744" width="9.33203125" customWidth="1"/>
    <col min="9985" max="9985" width="6.5" customWidth="1"/>
    <col min="9986" max="9986" width="5.75" customWidth="1"/>
    <col min="9989" max="9989" width="50.58203125" customWidth="1"/>
    <col min="9992" max="9992" width="50.58203125" customWidth="1"/>
    <col min="9995" max="9995" width="50.58203125" customWidth="1"/>
    <col min="9998" max="9998" width="50.58203125" customWidth="1"/>
    <col min="9999" max="9999" width="9.83203125" customWidth="1"/>
    <col min="10000" max="10000" width="9.33203125" customWidth="1"/>
    <col min="10241" max="10241" width="6.5" customWidth="1"/>
    <col min="10242" max="10242" width="5.75" customWidth="1"/>
    <col min="10245" max="10245" width="50.58203125" customWidth="1"/>
    <col min="10248" max="10248" width="50.58203125" customWidth="1"/>
    <col min="10251" max="10251" width="50.58203125" customWidth="1"/>
    <col min="10254" max="10254" width="50.58203125" customWidth="1"/>
    <col min="10255" max="10255" width="9.83203125" customWidth="1"/>
    <col min="10256" max="10256" width="9.33203125" customWidth="1"/>
    <col min="10497" max="10497" width="6.5" customWidth="1"/>
    <col min="10498" max="10498" width="5.75" customWidth="1"/>
    <col min="10501" max="10501" width="50.58203125" customWidth="1"/>
    <col min="10504" max="10504" width="50.58203125" customWidth="1"/>
    <col min="10507" max="10507" width="50.58203125" customWidth="1"/>
    <col min="10510" max="10510" width="50.58203125" customWidth="1"/>
    <col min="10511" max="10511" width="9.83203125" customWidth="1"/>
    <col min="10512" max="10512" width="9.33203125" customWidth="1"/>
    <col min="10753" max="10753" width="6.5" customWidth="1"/>
    <col min="10754" max="10754" width="5.75" customWidth="1"/>
    <col min="10757" max="10757" width="50.58203125" customWidth="1"/>
    <col min="10760" max="10760" width="50.58203125" customWidth="1"/>
    <col min="10763" max="10763" width="50.58203125" customWidth="1"/>
    <col min="10766" max="10766" width="50.58203125" customWidth="1"/>
    <col min="10767" max="10767" width="9.83203125" customWidth="1"/>
    <col min="10768" max="10768" width="9.33203125" customWidth="1"/>
    <col min="11009" max="11009" width="6.5" customWidth="1"/>
    <col min="11010" max="11010" width="5.75" customWidth="1"/>
    <col min="11013" max="11013" width="50.58203125" customWidth="1"/>
    <col min="11016" max="11016" width="50.58203125" customWidth="1"/>
    <col min="11019" max="11019" width="50.58203125" customWidth="1"/>
    <col min="11022" max="11022" width="50.58203125" customWidth="1"/>
    <col min="11023" max="11023" width="9.83203125" customWidth="1"/>
    <col min="11024" max="11024" width="9.33203125" customWidth="1"/>
    <col min="11265" max="11265" width="6.5" customWidth="1"/>
    <col min="11266" max="11266" width="5.75" customWidth="1"/>
    <col min="11269" max="11269" width="50.58203125" customWidth="1"/>
    <col min="11272" max="11272" width="50.58203125" customWidth="1"/>
    <col min="11275" max="11275" width="50.58203125" customWidth="1"/>
    <col min="11278" max="11278" width="50.58203125" customWidth="1"/>
    <col min="11279" max="11279" width="9.83203125" customWidth="1"/>
    <col min="11280" max="11280" width="9.33203125" customWidth="1"/>
    <col min="11521" max="11521" width="6.5" customWidth="1"/>
    <col min="11522" max="11522" width="5.75" customWidth="1"/>
    <col min="11525" max="11525" width="50.58203125" customWidth="1"/>
    <col min="11528" max="11528" width="50.58203125" customWidth="1"/>
    <col min="11531" max="11531" width="50.58203125" customWidth="1"/>
    <col min="11534" max="11534" width="50.58203125" customWidth="1"/>
    <col min="11535" max="11535" width="9.83203125" customWidth="1"/>
    <col min="11536" max="11536" width="9.33203125" customWidth="1"/>
    <col min="11777" max="11777" width="6.5" customWidth="1"/>
    <col min="11778" max="11778" width="5.75" customWidth="1"/>
    <col min="11781" max="11781" width="50.58203125" customWidth="1"/>
    <col min="11784" max="11784" width="50.58203125" customWidth="1"/>
    <col min="11787" max="11787" width="50.58203125" customWidth="1"/>
    <col min="11790" max="11790" width="50.58203125" customWidth="1"/>
    <col min="11791" max="11791" width="9.83203125" customWidth="1"/>
    <col min="11792" max="11792" width="9.33203125" customWidth="1"/>
    <col min="12033" max="12033" width="6.5" customWidth="1"/>
    <col min="12034" max="12034" width="5.75" customWidth="1"/>
    <col min="12037" max="12037" width="50.58203125" customWidth="1"/>
    <col min="12040" max="12040" width="50.58203125" customWidth="1"/>
    <col min="12043" max="12043" width="50.58203125" customWidth="1"/>
    <col min="12046" max="12046" width="50.58203125" customWidth="1"/>
    <col min="12047" max="12047" width="9.83203125" customWidth="1"/>
    <col min="12048" max="12048" width="9.33203125" customWidth="1"/>
    <col min="12289" max="12289" width="6.5" customWidth="1"/>
    <col min="12290" max="12290" width="5.75" customWidth="1"/>
    <col min="12293" max="12293" width="50.58203125" customWidth="1"/>
    <col min="12296" max="12296" width="50.58203125" customWidth="1"/>
    <col min="12299" max="12299" width="50.58203125" customWidth="1"/>
    <col min="12302" max="12302" width="50.58203125" customWidth="1"/>
    <col min="12303" max="12303" width="9.83203125" customWidth="1"/>
    <col min="12304" max="12304" width="9.33203125" customWidth="1"/>
    <col min="12545" max="12545" width="6.5" customWidth="1"/>
    <col min="12546" max="12546" width="5.75" customWidth="1"/>
    <col min="12549" max="12549" width="50.58203125" customWidth="1"/>
    <col min="12552" max="12552" width="50.58203125" customWidth="1"/>
    <col min="12555" max="12555" width="50.58203125" customWidth="1"/>
    <col min="12558" max="12558" width="50.58203125" customWidth="1"/>
    <col min="12559" max="12559" width="9.83203125" customWidth="1"/>
    <col min="12560" max="12560" width="9.33203125" customWidth="1"/>
    <col min="12801" max="12801" width="6.5" customWidth="1"/>
    <col min="12802" max="12802" width="5.75" customWidth="1"/>
    <col min="12805" max="12805" width="50.58203125" customWidth="1"/>
    <col min="12808" max="12808" width="50.58203125" customWidth="1"/>
    <col min="12811" max="12811" width="50.58203125" customWidth="1"/>
    <col min="12814" max="12814" width="50.58203125" customWidth="1"/>
    <col min="12815" max="12815" width="9.83203125" customWidth="1"/>
    <col min="12816" max="12816" width="9.33203125" customWidth="1"/>
    <col min="13057" max="13057" width="6.5" customWidth="1"/>
    <col min="13058" max="13058" width="5.75" customWidth="1"/>
    <col min="13061" max="13061" width="50.58203125" customWidth="1"/>
    <col min="13064" max="13064" width="50.58203125" customWidth="1"/>
    <col min="13067" max="13067" width="50.58203125" customWidth="1"/>
    <col min="13070" max="13070" width="50.58203125" customWidth="1"/>
    <col min="13071" max="13071" width="9.83203125" customWidth="1"/>
    <col min="13072" max="13072" width="9.33203125" customWidth="1"/>
    <col min="13313" max="13313" width="6.5" customWidth="1"/>
    <col min="13314" max="13314" width="5.75" customWidth="1"/>
    <col min="13317" max="13317" width="50.58203125" customWidth="1"/>
    <col min="13320" max="13320" width="50.58203125" customWidth="1"/>
    <col min="13323" max="13323" width="50.58203125" customWidth="1"/>
    <col min="13326" max="13326" width="50.58203125" customWidth="1"/>
    <col min="13327" max="13327" width="9.83203125" customWidth="1"/>
    <col min="13328" max="13328" width="9.33203125" customWidth="1"/>
    <col min="13569" max="13569" width="6.5" customWidth="1"/>
    <col min="13570" max="13570" width="5.75" customWidth="1"/>
    <col min="13573" max="13573" width="50.58203125" customWidth="1"/>
    <col min="13576" max="13576" width="50.58203125" customWidth="1"/>
    <col min="13579" max="13579" width="50.58203125" customWidth="1"/>
    <col min="13582" max="13582" width="50.58203125" customWidth="1"/>
    <col min="13583" max="13583" width="9.83203125" customWidth="1"/>
    <col min="13584" max="13584" width="9.33203125" customWidth="1"/>
    <col min="13825" max="13825" width="6.5" customWidth="1"/>
    <col min="13826" max="13826" width="5.75" customWidth="1"/>
    <col min="13829" max="13829" width="50.58203125" customWidth="1"/>
    <col min="13832" max="13832" width="50.58203125" customWidth="1"/>
    <col min="13835" max="13835" width="50.58203125" customWidth="1"/>
    <col min="13838" max="13838" width="50.58203125" customWidth="1"/>
    <col min="13839" max="13839" width="9.83203125" customWidth="1"/>
    <col min="13840" max="13840" width="9.33203125" customWidth="1"/>
    <col min="14081" max="14081" width="6.5" customWidth="1"/>
    <col min="14082" max="14082" width="5.75" customWidth="1"/>
    <col min="14085" max="14085" width="50.58203125" customWidth="1"/>
    <col min="14088" max="14088" width="50.58203125" customWidth="1"/>
    <col min="14091" max="14091" width="50.58203125" customWidth="1"/>
    <col min="14094" max="14094" width="50.58203125" customWidth="1"/>
    <col min="14095" max="14095" width="9.83203125" customWidth="1"/>
    <col min="14096" max="14096" width="9.33203125" customWidth="1"/>
    <col min="14337" max="14337" width="6.5" customWidth="1"/>
    <col min="14338" max="14338" width="5.75" customWidth="1"/>
    <col min="14341" max="14341" width="50.58203125" customWidth="1"/>
    <col min="14344" max="14344" width="50.58203125" customWidth="1"/>
    <col min="14347" max="14347" width="50.58203125" customWidth="1"/>
    <col min="14350" max="14350" width="50.58203125" customWidth="1"/>
    <col min="14351" max="14351" width="9.83203125" customWidth="1"/>
    <col min="14352" max="14352" width="9.33203125" customWidth="1"/>
    <col min="14593" max="14593" width="6.5" customWidth="1"/>
    <col min="14594" max="14594" width="5.75" customWidth="1"/>
    <col min="14597" max="14597" width="50.58203125" customWidth="1"/>
    <col min="14600" max="14600" width="50.58203125" customWidth="1"/>
    <col min="14603" max="14603" width="50.58203125" customWidth="1"/>
    <col min="14606" max="14606" width="50.58203125" customWidth="1"/>
    <col min="14607" max="14607" width="9.83203125" customWidth="1"/>
    <col min="14608" max="14608" width="9.33203125" customWidth="1"/>
    <col min="14849" max="14849" width="6.5" customWidth="1"/>
    <col min="14850" max="14850" width="5.75" customWidth="1"/>
    <col min="14853" max="14853" width="50.58203125" customWidth="1"/>
    <col min="14856" max="14856" width="50.58203125" customWidth="1"/>
    <col min="14859" max="14859" width="50.58203125" customWidth="1"/>
    <col min="14862" max="14862" width="50.58203125" customWidth="1"/>
    <col min="14863" max="14863" width="9.83203125" customWidth="1"/>
    <col min="14864" max="14864" width="9.33203125" customWidth="1"/>
    <col min="15105" max="15105" width="6.5" customWidth="1"/>
    <col min="15106" max="15106" width="5.75" customWidth="1"/>
    <col min="15109" max="15109" width="50.58203125" customWidth="1"/>
    <col min="15112" max="15112" width="50.58203125" customWidth="1"/>
    <col min="15115" max="15115" width="50.58203125" customWidth="1"/>
    <col min="15118" max="15118" width="50.58203125" customWidth="1"/>
    <col min="15119" max="15119" width="9.83203125" customWidth="1"/>
    <col min="15120" max="15120" width="9.33203125" customWidth="1"/>
    <col min="15361" max="15361" width="6.5" customWidth="1"/>
    <col min="15362" max="15362" width="5.75" customWidth="1"/>
    <col min="15365" max="15365" width="50.58203125" customWidth="1"/>
    <col min="15368" max="15368" width="50.58203125" customWidth="1"/>
    <col min="15371" max="15371" width="50.58203125" customWidth="1"/>
    <col min="15374" max="15374" width="50.58203125" customWidth="1"/>
    <col min="15375" max="15375" width="9.83203125" customWidth="1"/>
    <col min="15376" max="15376" width="9.33203125" customWidth="1"/>
    <col min="15617" max="15617" width="6.5" customWidth="1"/>
    <col min="15618" max="15618" width="5.75" customWidth="1"/>
    <col min="15621" max="15621" width="50.58203125" customWidth="1"/>
    <col min="15624" max="15624" width="50.58203125" customWidth="1"/>
    <col min="15627" max="15627" width="50.58203125" customWidth="1"/>
    <col min="15630" max="15630" width="50.58203125" customWidth="1"/>
    <col min="15631" max="15631" width="9.83203125" customWidth="1"/>
    <col min="15632" max="15632" width="9.33203125" customWidth="1"/>
    <col min="15873" max="15873" width="6.5" customWidth="1"/>
    <col min="15874" max="15874" width="5.75" customWidth="1"/>
    <col min="15877" max="15877" width="50.58203125" customWidth="1"/>
    <col min="15880" max="15880" width="50.58203125" customWidth="1"/>
    <col min="15883" max="15883" width="50.58203125" customWidth="1"/>
    <col min="15886" max="15886" width="50.58203125" customWidth="1"/>
    <col min="15887" max="15887" width="9.83203125" customWidth="1"/>
    <col min="15888" max="15888" width="9.33203125" customWidth="1"/>
    <col min="16129" max="16129" width="6.5" customWidth="1"/>
    <col min="16130" max="16130" width="5.75" customWidth="1"/>
    <col min="16133" max="16133" width="50.58203125" customWidth="1"/>
    <col min="16136" max="16136" width="50.58203125" customWidth="1"/>
    <col min="16139" max="16139" width="50.58203125" customWidth="1"/>
    <col min="16142" max="16142" width="50.58203125" customWidth="1"/>
    <col min="16143" max="16143" width="9.83203125" customWidth="1"/>
    <col min="16144" max="16144" width="9.33203125" customWidth="1"/>
  </cols>
  <sheetData>
    <row r="1" spans="2:26" ht="21.75" hidden="1" customHeight="1"/>
    <row r="2" spans="2:26" ht="36" customHeight="1">
      <c r="B2" s="11" t="s">
        <v>1403</v>
      </c>
      <c r="C2" s="8"/>
      <c r="D2" s="8"/>
      <c r="E2" s="8"/>
      <c r="F2" s="8" t="s">
        <v>1424</v>
      </c>
      <c r="G2" s="8"/>
      <c r="H2" s="8"/>
      <c r="I2" s="8"/>
      <c r="J2" s="8"/>
      <c r="K2" s="8"/>
      <c r="L2" s="8" t="s">
        <v>292</v>
      </c>
      <c r="M2" s="7"/>
      <c r="N2" s="8"/>
      <c r="O2" s="8"/>
      <c r="P2" s="8"/>
      <c r="Q2" s="5"/>
    </row>
    <row r="3" spans="2:26" ht="25.5">
      <c r="B3" s="10" t="s">
        <v>0</v>
      </c>
      <c r="C3" s="12" t="s">
        <v>285</v>
      </c>
      <c r="D3" s="13"/>
      <c r="E3" s="13"/>
      <c r="F3" s="13"/>
      <c r="G3" s="13"/>
      <c r="H3" s="13"/>
      <c r="I3" s="13"/>
      <c r="J3" s="13"/>
      <c r="K3" s="13"/>
      <c r="L3" s="13"/>
      <c r="M3" s="13"/>
      <c r="N3" s="13"/>
      <c r="O3" s="1" t="s">
        <v>291</v>
      </c>
      <c r="P3" s="1" t="s">
        <v>1</v>
      </c>
      <c r="Q3" s="1" t="s">
        <v>1</v>
      </c>
      <c r="R3" s="1" t="s">
        <v>2</v>
      </c>
      <c r="S3" s="2" t="s">
        <v>3</v>
      </c>
      <c r="T3" s="3" t="s">
        <v>4</v>
      </c>
      <c r="U3">
        <v>1</v>
      </c>
      <c r="V3">
        <v>1</v>
      </c>
      <c r="W3" t="s">
        <v>286</v>
      </c>
    </row>
    <row r="4" spans="2:26" s="4" customFormat="1" ht="40" customHeight="1">
      <c r="B4" s="14">
        <v>1</v>
      </c>
      <c r="C4" s="16" t="s">
        <v>5</v>
      </c>
      <c r="D4" s="16"/>
      <c r="E4" s="16"/>
      <c r="F4" s="16"/>
      <c r="G4" s="16"/>
      <c r="H4" s="16"/>
      <c r="I4" s="16"/>
      <c r="J4" s="16"/>
      <c r="K4" s="16"/>
      <c r="L4" s="16"/>
      <c r="M4" s="16"/>
      <c r="N4" s="16"/>
      <c r="O4" s="17"/>
      <c r="P4" s="19" t="str">
        <f>Q4</f>
        <v>×</v>
      </c>
      <c r="Q4" s="21" t="str">
        <f>IF(O4=R4,$S$3,$T$3)</f>
        <v>×</v>
      </c>
      <c r="R4" s="23" t="s">
        <v>287</v>
      </c>
      <c r="T4" s="4">
        <f>SUM(W4:W659)</f>
        <v>0</v>
      </c>
      <c r="U4">
        <v>2</v>
      </c>
      <c r="V4" s="4">
        <v>2</v>
      </c>
      <c r="W4" s="46">
        <f>IF(O4=R4,1,0)</f>
        <v>0</v>
      </c>
      <c r="Z4" s="6"/>
    </row>
    <row r="5" spans="2:26" s="4" customFormat="1" ht="40" customHeight="1">
      <c r="B5" s="15"/>
      <c r="C5" s="24" t="s">
        <v>6</v>
      </c>
      <c r="D5" s="25"/>
      <c r="E5" s="25"/>
      <c r="F5" s="25" t="s">
        <v>7</v>
      </c>
      <c r="G5" s="25"/>
      <c r="H5" s="25"/>
      <c r="I5" s="25" t="s">
        <v>8</v>
      </c>
      <c r="J5" s="25"/>
      <c r="K5" s="25"/>
      <c r="L5" s="25" t="s">
        <v>9</v>
      </c>
      <c r="M5" s="25"/>
      <c r="N5" s="25"/>
      <c r="O5" s="18"/>
      <c r="P5" s="20"/>
      <c r="Q5" s="22"/>
      <c r="R5" s="23"/>
      <c r="U5">
        <v>3</v>
      </c>
      <c r="V5" s="4">
        <v>1</v>
      </c>
      <c r="W5" s="46"/>
    </row>
    <row r="6" spans="2:26" s="4" customFormat="1" ht="40" customHeight="1">
      <c r="B6" s="14">
        <v>2</v>
      </c>
      <c r="C6" s="16" t="s">
        <v>10</v>
      </c>
      <c r="D6" s="16"/>
      <c r="E6" s="16"/>
      <c r="F6" s="16"/>
      <c r="G6" s="16"/>
      <c r="H6" s="16"/>
      <c r="I6" s="16"/>
      <c r="J6" s="16"/>
      <c r="K6" s="16"/>
      <c r="L6" s="16"/>
      <c r="M6" s="16"/>
      <c r="N6" s="16"/>
      <c r="O6" s="17"/>
      <c r="P6" s="19" t="str">
        <f>Q6</f>
        <v>×</v>
      </c>
      <c r="Q6" s="21" t="str">
        <f>IF(O6=R6,$S$3,$T$3)</f>
        <v>×</v>
      </c>
      <c r="R6" s="23" t="s">
        <v>288</v>
      </c>
      <c r="U6">
        <v>4</v>
      </c>
      <c r="V6" s="4">
        <v>2</v>
      </c>
      <c r="W6" s="46">
        <f t="shared" ref="W6" si="0">IF(O6=R6,1,0)</f>
        <v>0</v>
      </c>
    </row>
    <row r="7" spans="2:26" s="4" customFormat="1" ht="40" customHeight="1">
      <c r="B7" s="15"/>
      <c r="C7" s="25" t="s">
        <v>11</v>
      </c>
      <c r="D7" s="25"/>
      <c r="E7" s="25"/>
      <c r="F7" s="24" t="s">
        <v>12</v>
      </c>
      <c r="G7" s="25"/>
      <c r="H7" s="25"/>
      <c r="I7" s="25" t="s">
        <v>13</v>
      </c>
      <c r="J7" s="25"/>
      <c r="K7" s="25"/>
      <c r="L7" s="25" t="s">
        <v>14</v>
      </c>
      <c r="M7" s="25"/>
      <c r="N7" s="25"/>
      <c r="O7" s="18"/>
      <c r="P7" s="20"/>
      <c r="Q7" s="22"/>
      <c r="R7" s="23"/>
      <c r="U7">
        <v>5</v>
      </c>
      <c r="V7" s="4">
        <v>1</v>
      </c>
      <c r="W7" s="46"/>
    </row>
    <row r="8" spans="2:26" s="4" customFormat="1" ht="40" customHeight="1">
      <c r="B8" s="14">
        <v>3</v>
      </c>
      <c r="C8" s="26" t="s">
        <v>15</v>
      </c>
      <c r="D8" s="16"/>
      <c r="E8" s="16"/>
      <c r="F8" s="16"/>
      <c r="G8" s="16"/>
      <c r="H8" s="16"/>
      <c r="I8" s="16"/>
      <c r="J8" s="16"/>
      <c r="K8" s="16"/>
      <c r="L8" s="16"/>
      <c r="M8" s="16"/>
      <c r="N8" s="16"/>
      <c r="O8" s="17"/>
      <c r="P8" s="19" t="str">
        <f>Q8</f>
        <v>×</v>
      </c>
      <c r="Q8" s="21" t="str">
        <f>IF(O8=R8,$S$3,$T$3)</f>
        <v>×</v>
      </c>
      <c r="R8" s="23" t="s">
        <v>288</v>
      </c>
      <c r="U8">
        <v>6</v>
      </c>
      <c r="V8" s="4">
        <v>2</v>
      </c>
      <c r="W8" s="46">
        <f t="shared" ref="W8" si="1">IF(O8=R8,1,0)</f>
        <v>0</v>
      </c>
    </row>
    <row r="9" spans="2:26" s="4" customFormat="1" ht="40" customHeight="1">
      <c r="B9" s="15"/>
      <c r="C9" s="25" t="s">
        <v>16</v>
      </c>
      <c r="D9" s="25"/>
      <c r="E9" s="25"/>
      <c r="F9" s="25" t="s">
        <v>17</v>
      </c>
      <c r="G9" s="25"/>
      <c r="H9" s="25"/>
      <c r="I9" s="25" t="s">
        <v>18</v>
      </c>
      <c r="J9" s="25"/>
      <c r="K9" s="25"/>
      <c r="L9" s="25" t="s">
        <v>19</v>
      </c>
      <c r="M9" s="25"/>
      <c r="N9" s="25"/>
      <c r="O9" s="18"/>
      <c r="P9" s="20"/>
      <c r="Q9" s="22"/>
      <c r="R9" s="23"/>
      <c r="U9">
        <v>7</v>
      </c>
      <c r="V9" s="4">
        <v>1</v>
      </c>
      <c r="W9" s="46"/>
    </row>
    <row r="10" spans="2:26" s="4" customFormat="1" ht="40" customHeight="1">
      <c r="B10" s="14">
        <v>4</v>
      </c>
      <c r="C10" s="26" t="s">
        <v>282</v>
      </c>
      <c r="D10" s="16"/>
      <c r="E10" s="16"/>
      <c r="F10" s="16"/>
      <c r="G10" s="16"/>
      <c r="H10" s="16"/>
      <c r="I10" s="16"/>
      <c r="J10" s="16"/>
      <c r="K10" s="16"/>
      <c r="L10" s="16"/>
      <c r="M10" s="16"/>
      <c r="N10" s="16"/>
      <c r="O10" s="17"/>
      <c r="P10" s="19" t="str">
        <f>Q10</f>
        <v>×</v>
      </c>
      <c r="Q10" s="21" t="str">
        <f>IF(O10=R10,$S$3,$T$3)</f>
        <v>×</v>
      </c>
      <c r="R10" s="23" t="s">
        <v>289</v>
      </c>
      <c r="U10">
        <v>8</v>
      </c>
      <c r="V10" s="4">
        <v>2</v>
      </c>
      <c r="W10" s="46">
        <f t="shared" ref="W10" si="2">IF(O10=R10,1,0)</f>
        <v>0</v>
      </c>
    </row>
    <row r="11" spans="2:26" s="4" customFormat="1" ht="40" customHeight="1">
      <c r="B11" s="15"/>
      <c r="C11" s="25" t="s">
        <v>20</v>
      </c>
      <c r="D11" s="25"/>
      <c r="E11" s="25"/>
      <c r="F11" s="25" t="s">
        <v>21</v>
      </c>
      <c r="G11" s="25"/>
      <c r="H11" s="25"/>
      <c r="I11" s="25" t="s">
        <v>22</v>
      </c>
      <c r="J11" s="25"/>
      <c r="K11" s="25"/>
      <c r="L11" s="25" t="s">
        <v>23</v>
      </c>
      <c r="M11" s="25"/>
      <c r="N11" s="25"/>
      <c r="O11" s="18"/>
      <c r="P11" s="20"/>
      <c r="Q11" s="22"/>
      <c r="R11" s="23"/>
      <c r="U11">
        <v>9</v>
      </c>
      <c r="V11" s="4">
        <v>1</v>
      </c>
      <c r="W11" s="46"/>
    </row>
    <row r="12" spans="2:26" s="4" customFormat="1" ht="40" customHeight="1">
      <c r="B12" s="14">
        <v>5</v>
      </c>
      <c r="C12" s="16" t="s">
        <v>24</v>
      </c>
      <c r="D12" s="16"/>
      <c r="E12" s="16"/>
      <c r="F12" s="16"/>
      <c r="G12" s="16"/>
      <c r="H12" s="16"/>
      <c r="I12" s="16"/>
      <c r="J12" s="16"/>
      <c r="K12" s="16"/>
      <c r="L12" s="16"/>
      <c r="M12" s="16"/>
      <c r="N12" s="16"/>
      <c r="O12" s="17"/>
      <c r="P12" s="19" t="str">
        <f>Q12</f>
        <v>×</v>
      </c>
      <c r="Q12" s="21" t="str">
        <f>IF(O12=R12,$S$3,$T$3)</f>
        <v>×</v>
      </c>
      <c r="R12" s="23" t="s">
        <v>290</v>
      </c>
      <c r="U12">
        <v>10</v>
      </c>
      <c r="V12" s="4">
        <v>2</v>
      </c>
      <c r="W12" s="46">
        <f t="shared" ref="W12" si="3">IF(O12=R12,1,0)</f>
        <v>0</v>
      </c>
    </row>
    <row r="13" spans="2:26" s="4" customFormat="1" ht="40" customHeight="1">
      <c r="B13" s="15"/>
      <c r="C13" s="25" t="s">
        <v>25</v>
      </c>
      <c r="D13" s="25"/>
      <c r="E13" s="25"/>
      <c r="F13" s="25" t="s">
        <v>26</v>
      </c>
      <c r="G13" s="25"/>
      <c r="H13" s="25"/>
      <c r="I13" s="25" t="s">
        <v>27</v>
      </c>
      <c r="J13" s="25"/>
      <c r="K13" s="25"/>
      <c r="L13" s="25" t="s">
        <v>28</v>
      </c>
      <c r="M13" s="25"/>
      <c r="N13" s="25"/>
      <c r="O13" s="18"/>
      <c r="P13" s="20"/>
      <c r="Q13" s="22"/>
      <c r="R13" s="23"/>
      <c r="U13">
        <v>11</v>
      </c>
      <c r="V13">
        <v>1</v>
      </c>
      <c r="W13" s="46"/>
    </row>
    <row r="14" spans="2:26" ht="40" customHeight="1">
      <c r="B14" s="14">
        <v>6</v>
      </c>
      <c r="C14" s="16" t="s">
        <v>29</v>
      </c>
      <c r="D14" s="16"/>
      <c r="E14" s="16"/>
      <c r="F14" s="16"/>
      <c r="G14" s="16"/>
      <c r="H14" s="16"/>
      <c r="I14" s="16"/>
      <c r="J14" s="16"/>
      <c r="K14" s="16"/>
      <c r="L14" s="16"/>
      <c r="M14" s="16"/>
      <c r="N14" s="16"/>
      <c r="O14" s="17"/>
      <c r="P14" s="19" t="str">
        <f>Q14</f>
        <v>×</v>
      </c>
      <c r="Q14" s="28" t="str">
        <f>IF(O14=R14,$S$3,$T$3)</f>
        <v>×</v>
      </c>
      <c r="R14" s="23" t="s">
        <v>289</v>
      </c>
      <c r="U14">
        <v>12</v>
      </c>
      <c r="V14" s="4">
        <v>2</v>
      </c>
      <c r="W14" s="46">
        <f t="shared" ref="W14" si="4">IF(O14=R14,1,0)</f>
        <v>0</v>
      </c>
    </row>
    <row r="15" spans="2:26" ht="40" customHeight="1">
      <c r="B15" s="15"/>
      <c r="C15" s="25" t="s">
        <v>30</v>
      </c>
      <c r="D15" s="25"/>
      <c r="E15" s="25"/>
      <c r="F15" s="25" t="s">
        <v>31</v>
      </c>
      <c r="G15" s="25"/>
      <c r="H15" s="25"/>
      <c r="I15" s="25" t="s">
        <v>1402</v>
      </c>
      <c r="J15" s="25"/>
      <c r="K15" s="25"/>
      <c r="L15" s="25" t="s">
        <v>1401</v>
      </c>
      <c r="M15" s="25"/>
      <c r="N15" s="25"/>
      <c r="O15" s="18"/>
      <c r="P15" s="27"/>
      <c r="Q15" s="29"/>
      <c r="R15" s="30"/>
      <c r="U15">
        <v>13</v>
      </c>
      <c r="V15" s="4">
        <v>1</v>
      </c>
      <c r="W15" s="46"/>
    </row>
    <row r="16" spans="2:26" ht="40" customHeight="1">
      <c r="B16" s="14">
        <v>7</v>
      </c>
      <c r="C16" s="16" t="s">
        <v>32</v>
      </c>
      <c r="D16" s="16"/>
      <c r="E16" s="16"/>
      <c r="F16" s="16"/>
      <c r="G16" s="16"/>
      <c r="H16" s="16"/>
      <c r="I16" s="16"/>
      <c r="J16" s="16"/>
      <c r="K16" s="16"/>
      <c r="L16" s="16"/>
      <c r="M16" s="16"/>
      <c r="N16" s="16"/>
      <c r="O16" s="17"/>
      <c r="P16" s="19" t="str">
        <f>Q16</f>
        <v>×</v>
      </c>
      <c r="Q16" s="28" t="str">
        <f>IF(O16=R16,$S$3,$T$3)</f>
        <v>×</v>
      </c>
      <c r="R16" s="23" t="s">
        <v>287</v>
      </c>
      <c r="U16">
        <v>14</v>
      </c>
      <c r="V16" s="4">
        <v>2</v>
      </c>
      <c r="W16" s="46">
        <f t="shared" ref="W16" si="5">IF(O16=R16,1,0)</f>
        <v>0</v>
      </c>
    </row>
    <row r="17" spans="2:23" ht="40" customHeight="1">
      <c r="B17" s="15"/>
      <c r="C17" s="25" t="s">
        <v>33</v>
      </c>
      <c r="D17" s="25"/>
      <c r="E17" s="25"/>
      <c r="F17" s="25" t="s">
        <v>34</v>
      </c>
      <c r="G17" s="25"/>
      <c r="H17" s="25"/>
      <c r="I17" s="25" t="s">
        <v>35</v>
      </c>
      <c r="J17" s="25"/>
      <c r="K17" s="25"/>
      <c r="L17" s="25" t="s">
        <v>36</v>
      </c>
      <c r="M17" s="25"/>
      <c r="N17" s="25"/>
      <c r="O17" s="18"/>
      <c r="P17" s="27"/>
      <c r="Q17" s="29"/>
      <c r="R17" s="30"/>
      <c r="U17">
        <v>15</v>
      </c>
      <c r="V17" s="4">
        <v>1</v>
      </c>
      <c r="W17" s="46"/>
    </row>
    <row r="18" spans="2:23" ht="40" customHeight="1">
      <c r="B18" s="14">
        <v>8</v>
      </c>
      <c r="C18" s="31" t="s">
        <v>37</v>
      </c>
      <c r="D18" s="32"/>
      <c r="E18" s="32"/>
      <c r="F18" s="32"/>
      <c r="G18" s="32"/>
      <c r="H18" s="32"/>
      <c r="I18" s="32"/>
      <c r="J18" s="32"/>
      <c r="K18" s="32"/>
      <c r="L18" s="32"/>
      <c r="M18" s="32"/>
      <c r="N18" s="33"/>
      <c r="O18" s="17"/>
      <c r="P18" s="19" t="str">
        <f>Q18</f>
        <v>×</v>
      </c>
      <c r="Q18" s="28" t="str">
        <f>IF(O18=R18,$S$3,$T$3)</f>
        <v>×</v>
      </c>
      <c r="R18" s="23" t="s">
        <v>287</v>
      </c>
      <c r="U18">
        <v>16</v>
      </c>
      <c r="V18" s="4">
        <v>2</v>
      </c>
      <c r="W18" s="46">
        <f t="shared" ref="W18" si="6">IF(O18=R18,1,0)</f>
        <v>0</v>
      </c>
    </row>
    <row r="19" spans="2:23" ht="40" customHeight="1">
      <c r="B19" s="15"/>
      <c r="C19" s="25" t="s">
        <v>38</v>
      </c>
      <c r="D19" s="25"/>
      <c r="E19" s="25"/>
      <c r="F19" s="25" t="s">
        <v>39</v>
      </c>
      <c r="G19" s="25"/>
      <c r="H19" s="25"/>
      <c r="I19" s="25" t="s">
        <v>22</v>
      </c>
      <c r="J19" s="25"/>
      <c r="K19" s="25"/>
      <c r="L19" s="25" t="s">
        <v>23</v>
      </c>
      <c r="M19" s="25"/>
      <c r="N19" s="25"/>
      <c r="O19" s="18"/>
      <c r="P19" s="27"/>
      <c r="Q19" s="29"/>
      <c r="R19" s="30"/>
      <c r="U19">
        <v>17</v>
      </c>
      <c r="V19" s="4">
        <v>1</v>
      </c>
      <c r="W19" s="46"/>
    </row>
    <row r="20" spans="2:23" ht="40" customHeight="1">
      <c r="B20" s="14">
        <v>9</v>
      </c>
      <c r="C20" s="16" t="s">
        <v>40</v>
      </c>
      <c r="D20" s="16"/>
      <c r="E20" s="16"/>
      <c r="F20" s="16"/>
      <c r="G20" s="16"/>
      <c r="H20" s="16"/>
      <c r="I20" s="16"/>
      <c r="J20" s="16"/>
      <c r="K20" s="16"/>
      <c r="L20" s="16"/>
      <c r="M20" s="16"/>
      <c r="N20" s="16"/>
      <c r="O20" s="17"/>
      <c r="P20" s="19" t="str">
        <f>Q20</f>
        <v>×</v>
      </c>
      <c r="Q20" s="28" t="str">
        <f>IF(O20=R20,$S$3,$T$3)</f>
        <v>×</v>
      </c>
      <c r="R20" s="23" t="s">
        <v>289</v>
      </c>
      <c r="U20">
        <v>18</v>
      </c>
      <c r="V20" s="4">
        <v>2</v>
      </c>
      <c r="W20" s="46">
        <f t="shared" ref="W20" si="7">IF(O20=R20,1,0)</f>
        <v>0</v>
      </c>
    </row>
    <row r="21" spans="2:23" ht="40" customHeight="1">
      <c r="B21" s="15"/>
      <c r="C21" s="25" t="s">
        <v>41</v>
      </c>
      <c r="D21" s="25"/>
      <c r="E21" s="25"/>
      <c r="F21" s="25" t="s">
        <v>42</v>
      </c>
      <c r="G21" s="25"/>
      <c r="H21" s="25"/>
      <c r="I21" s="25" t="s">
        <v>43</v>
      </c>
      <c r="J21" s="25"/>
      <c r="K21" s="25"/>
      <c r="L21" s="25" t="s">
        <v>44</v>
      </c>
      <c r="M21" s="25"/>
      <c r="N21" s="25"/>
      <c r="O21" s="18"/>
      <c r="P21" s="27"/>
      <c r="Q21" s="29"/>
      <c r="R21" s="30"/>
      <c r="U21">
        <v>19</v>
      </c>
      <c r="V21" s="4">
        <v>1</v>
      </c>
      <c r="W21" s="46"/>
    </row>
    <row r="22" spans="2:23" ht="40" customHeight="1">
      <c r="B22" s="14">
        <v>10</v>
      </c>
      <c r="C22" s="16" t="s">
        <v>45</v>
      </c>
      <c r="D22" s="16"/>
      <c r="E22" s="16"/>
      <c r="F22" s="16"/>
      <c r="G22" s="16"/>
      <c r="H22" s="16"/>
      <c r="I22" s="16"/>
      <c r="J22" s="16"/>
      <c r="K22" s="16"/>
      <c r="L22" s="16"/>
      <c r="M22" s="16"/>
      <c r="N22" s="16"/>
      <c r="O22" s="17"/>
      <c r="P22" s="19" t="str">
        <f>Q22</f>
        <v>×</v>
      </c>
      <c r="Q22" s="28" t="str">
        <f>IF(O22=R22,$S$3,$T$3)</f>
        <v>×</v>
      </c>
      <c r="R22" s="23" t="s">
        <v>288</v>
      </c>
      <c r="U22">
        <v>20</v>
      </c>
      <c r="V22" s="4">
        <v>2</v>
      </c>
      <c r="W22" s="46">
        <f t="shared" ref="W22" si="8">IF(O22=R22,1,0)</f>
        <v>0</v>
      </c>
    </row>
    <row r="23" spans="2:23" ht="40" customHeight="1">
      <c r="B23" s="15"/>
      <c r="C23" s="25" t="s">
        <v>46</v>
      </c>
      <c r="D23" s="25"/>
      <c r="E23" s="25"/>
      <c r="F23" s="25" t="s">
        <v>21</v>
      </c>
      <c r="G23" s="25"/>
      <c r="H23" s="25"/>
      <c r="I23" s="25" t="s">
        <v>47</v>
      </c>
      <c r="J23" s="25"/>
      <c r="K23" s="25"/>
      <c r="L23" s="25" t="s">
        <v>48</v>
      </c>
      <c r="M23" s="25"/>
      <c r="N23" s="25"/>
      <c r="O23" s="18"/>
      <c r="P23" s="27"/>
      <c r="Q23" s="29"/>
      <c r="R23" s="30"/>
      <c r="U23">
        <v>21</v>
      </c>
      <c r="V23">
        <v>1</v>
      </c>
      <c r="W23" s="46"/>
    </row>
    <row r="24" spans="2:23" ht="40" customHeight="1">
      <c r="B24" s="14">
        <v>11</v>
      </c>
      <c r="C24" s="16" t="s">
        <v>49</v>
      </c>
      <c r="D24" s="16"/>
      <c r="E24" s="16"/>
      <c r="F24" s="16"/>
      <c r="G24" s="16"/>
      <c r="H24" s="16"/>
      <c r="I24" s="16"/>
      <c r="J24" s="16"/>
      <c r="K24" s="16"/>
      <c r="L24" s="16"/>
      <c r="M24" s="16"/>
      <c r="N24" s="16"/>
      <c r="O24" s="17"/>
      <c r="P24" s="19" t="str">
        <f>Q24</f>
        <v>×</v>
      </c>
      <c r="Q24" s="28" t="str">
        <f>IF(O24=R24,$S$3,$T$3)</f>
        <v>×</v>
      </c>
      <c r="R24" s="23" t="s">
        <v>289</v>
      </c>
      <c r="U24">
        <v>22</v>
      </c>
      <c r="V24" s="4">
        <v>2</v>
      </c>
      <c r="W24" s="46">
        <f t="shared" ref="W24" si="9">IF(O24=R24,1,0)</f>
        <v>0</v>
      </c>
    </row>
    <row r="25" spans="2:23" ht="40" customHeight="1">
      <c r="B25" s="15"/>
      <c r="C25" s="25" t="s">
        <v>50</v>
      </c>
      <c r="D25" s="25"/>
      <c r="E25" s="25"/>
      <c r="F25" s="25" t="s">
        <v>51</v>
      </c>
      <c r="G25" s="25"/>
      <c r="H25" s="25"/>
      <c r="I25" s="25" t="s">
        <v>52</v>
      </c>
      <c r="J25" s="25"/>
      <c r="K25" s="25"/>
      <c r="L25" s="25" t="s">
        <v>53</v>
      </c>
      <c r="M25" s="25"/>
      <c r="N25" s="25"/>
      <c r="O25" s="18"/>
      <c r="P25" s="27"/>
      <c r="Q25" s="29"/>
      <c r="R25" s="30"/>
      <c r="U25">
        <v>23</v>
      </c>
      <c r="V25" s="4">
        <v>1</v>
      </c>
      <c r="W25" s="46"/>
    </row>
    <row r="26" spans="2:23" ht="40" customHeight="1">
      <c r="B26" s="14">
        <v>12</v>
      </c>
      <c r="C26" s="16" t="s">
        <v>54</v>
      </c>
      <c r="D26" s="16"/>
      <c r="E26" s="16"/>
      <c r="F26" s="16"/>
      <c r="G26" s="16"/>
      <c r="H26" s="16"/>
      <c r="I26" s="16"/>
      <c r="J26" s="16"/>
      <c r="K26" s="16"/>
      <c r="L26" s="16"/>
      <c r="M26" s="16"/>
      <c r="N26" s="16"/>
      <c r="O26" s="17"/>
      <c r="P26" s="19" t="str">
        <f>Q26</f>
        <v>×</v>
      </c>
      <c r="Q26" s="28" t="str">
        <f>IF(O26=R26,$S$3,$T$3)</f>
        <v>×</v>
      </c>
      <c r="R26" s="23" t="s">
        <v>287</v>
      </c>
      <c r="U26">
        <v>24</v>
      </c>
      <c r="V26" s="4">
        <v>2</v>
      </c>
      <c r="W26" s="46">
        <f t="shared" ref="W26" si="10">IF(O26=R26,1,0)</f>
        <v>0</v>
      </c>
    </row>
    <row r="27" spans="2:23" ht="40" customHeight="1">
      <c r="B27" s="15"/>
      <c r="C27" s="25" t="s">
        <v>55</v>
      </c>
      <c r="D27" s="25"/>
      <c r="E27" s="25"/>
      <c r="F27" s="25" t="s">
        <v>51</v>
      </c>
      <c r="G27" s="25"/>
      <c r="H27" s="25"/>
      <c r="I27" s="25" t="s">
        <v>56</v>
      </c>
      <c r="J27" s="25"/>
      <c r="K27" s="25"/>
      <c r="L27" s="25" t="s">
        <v>44</v>
      </c>
      <c r="M27" s="25"/>
      <c r="N27" s="25"/>
      <c r="O27" s="18"/>
      <c r="P27" s="27"/>
      <c r="Q27" s="29"/>
      <c r="R27" s="30"/>
      <c r="U27">
        <v>25</v>
      </c>
      <c r="V27" s="4">
        <v>1</v>
      </c>
      <c r="W27" s="46"/>
    </row>
    <row r="28" spans="2:23" ht="40" customHeight="1">
      <c r="B28" s="14">
        <v>13</v>
      </c>
      <c r="C28" s="16" t="s">
        <v>57</v>
      </c>
      <c r="D28" s="16"/>
      <c r="E28" s="16"/>
      <c r="F28" s="16"/>
      <c r="G28" s="16"/>
      <c r="H28" s="16"/>
      <c r="I28" s="16"/>
      <c r="J28" s="16"/>
      <c r="K28" s="16"/>
      <c r="L28" s="16"/>
      <c r="M28" s="16"/>
      <c r="N28" s="16"/>
      <c r="O28" s="17"/>
      <c r="P28" s="19" t="str">
        <f>Q28</f>
        <v>×</v>
      </c>
      <c r="Q28" s="28" t="str">
        <f>IF(O28=R28,$S$3,$T$3)</f>
        <v>×</v>
      </c>
      <c r="R28" s="23" t="s">
        <v>288</v>
      </c>
      <c r="U28">
        <v>26</v>
      </c>
      <c r="V28" s="4">
        <v>2</v>
      </c>
      <c r="W28" s="46">
        <f t="shared" ref="W28" si="11">IF(O28=R28,1,0)</f>
        <v>0</v>
      </c>
    </row>
    <row r="29" spans="2:23" ht="40" customHeight="1">
      <c r="B29" s="15"/>
      <c r="C29" s="25" t="s">
        <v>58</v>
      </c>
      <c r="D29" s="25"/>
      <c r="E29" s="25"/>
      <c r="F29" s="25" t="s">
        <v>59</v>
      </c>
      <c r="G29" s="25"/>
      <c r="H29" s="25"/>
      <c r="I29" s="25" t="s">
        <v>60</v>
      </c>
      <c r="J29" s="25"/>
      <c r="K29" s="25"/>
      <c r="L29" s="25" t="s">
        <v>61</v>
      </c>
      <c r="M29" s="25"/>
      <c r="N29" s="25"/>
      <c r="O29" s="18"/>
      <c r="P29" s="27"/>
      <c r="Q29" s="29"/>
      <c r="R29" s="30"/>
      <c r="U29">
        <v>27</v>
      </c>
      <c r="V29" s="4">
        <v>1</v>
      </c>
      <c r="W29" s="46"/>
    </row>
    <row r="30" spans="2:23" ht="40" customHeight="1">
      <c r="B30" s="14">
        <v>14</v>
      </c>
      <c r="C30" s="16" t="s">
        <v>62</v>
      </c>
      <c r="D30" s="16"/>
      <c r="E30" s="16"/>
      <c r="F30" s="16"/>
      <c r="G30" s="16"/>
      <c r="H30" s="16"/>
      <c r="I30" s="16"/>
      <c r="J30" s="16"/>
      <c r="K30" s="16"/>
      <c r="L30" s="16"/>
      <c r="M30" s="16"/>
      <c r="N30" s="16"/>
      <c r="O30" s="17"/>
      <c r="P30" s="19" t="str">
        <f>Q30</f>
        <v>×</v>
      </c>
      <c r="Q30" s="28" t="str">
        <f>IF(O30=R30,$S$3,$T$3)</f>
        <v>×</v>
      </c>
      <c r="R30" s="23" t="s">
        <v>287</v>
      </c>
      <c r="U30">
        <v>28</v>
      </c>
      <c r="V30" s="4">
        <v>2</v>
      </c>
      <c r="W30" s="46">
        <f t="shared" ref="W30" si="12">IF(O30=R30,1,0)</f>
        <v>0</v>
      </c>
    </row>
    <row r="31" spans="2:23" ht="40" customHeight="1">
      <c r="B31" s="15"/>
      <c r="C31" s="25" t="s">
        <v>63</v>
      </c>
      <c r="D31" s="25"/>
      <c r="E31" s="25"/>
      <c r="F31" s="25" t="s">
        <v>64</v>
      </c>
      <c r="G31" s="25"/>
      <c r="H31" s="25"/>
      <c r="I31" s="25" t="s">
        <v>65</v>
      </c>
      <c r="J31" s="25"/>
      <c r="K31" s="25"/>
      <c r="L31" s="34" t="s">
        <v>66</v>
      </c>
      <c r="M31" s="35"/>
      <c r="N31" s="36"/>
      <c r="O31" s="18"/>
      <c r="P31" s="27"/>
      <c r="Q31" s="29"/>
      <c r="R31" s="30"/>
      <c r="U31">
        <v>29</v>
      </c>
      <c r="V31" s="4">
        <v>1</v>
      </c>
      <c r="W31" s="46"/>
    </row>
    <row r="32" spans="2:23" ht="40" customHeight="1">
      <c r="B32" s="14">
        <v>15</v>
      </c>
      <c r="C32" s="16" t="s">
        <v>67</v>
      </c>
      <c r="D32" s="16"/>
      <c r="E32" s="16"/>
      <c r="F32" s="16"/>
      <c r="G32" s="16"/>
      <c r="H32" s="16"/>
      <c r="I32" s="16"/>
      <c r="J32" s="16"/>
      <c r="K32" s="16"/>
      <c r="L32" s="16"/>
      <c r="M32" s="16"/>
      <c r="N32" s="16"/>
      <c r="O32" s="17"/>
      <c r="P32" s="19" t="str">
        <f>Q32</f>
        <v>×</v>
      </c>
      <c r="Q32" s="28" t="str">
        <f>IF(O32=R32,$S$3,$T$3)</f>
        <v>×</v>
      </c>
      <c r="R32" s="23" t="s">
        <v>287</v>
      </c>
      <c r="U32">
        <v>30</v>
      </c>
      <c r="V32" s="4">
        <v>2</v>
      </c>
      <c r="W32" s="46">
        <f t="shared" ref="W32" si="13">IF(O32=R32,1,0)</f>
        <v>0</v>
      </c>
    </row>
    <row r="33" spans="2:23" ht="40" customHeight="1">
      <c r="B33" s="15"/>
      <c r="C33" s="25" t="s">
        <v>155</v>
      </c>
      <c r="D33" s="25"/>
      <c r="E33" s="25"/>
      <c r="F33" s="25" t="s">
        <v>68</v>
      </c>
      <c r="G33" s="25"/>
      <c r="H33" s="25"/>
      <c r="I33" s="34" t="s">
        <v>69</v>
      </c>
      <c r="J33" s="35"/>
      <c r="K33" s="36"/>
      <c r="L33" s="25" t="s">
        <v>70</v>
      </c>
      <c r="M33" s="25"/>
      <c r="N33" s="25"/>
      <c r="O33" s="18"/>
      <c r="P33" s="27"/>
      <c r="Q33" s="29"/>
      <c r="R33" s="30"/>
      <c r="U33">
        <v>31</v>
      </c>
      <c r="V33">
        <v>1</v>
      </c>
      <c r="W33" s="46"/>
    </row>
    <row r="34" spans="2:23" ht="40" customHeight="1">
      <c r="B34" s="14">
        <v>16</v>
      </c>
      <c r="C34" s="16" t="s">
        <v>71</v>
      </c>
      <c r="D34" s="16"/>
      <c r="E34" s="16"/>
      <c r="F34" s="16"/>
      <c r="G34" s="16"/>
      <c r="H34" s="16"/>
      <c r="I34" s="16"/>
      <c r="J34" s="16"/>
      <c r="K34" s="16"/>
      <c r="L34" s="16"/>
      <c r="M34" s="16"/>
      <c r="N34" s="16"/>
      <c r="O34" s="17"/>
      <c r="P34" s="19" t="str">
        <f>Q34</f>
        <v>×</v>
      </c>
      <c r="Q34" s="28" t="str">
        <f>IF(O34=R34,$S$3,$T$3)</f>
        <v>×</v>
      </c>
      <c r="R34" s="23" t="s">
        <v>288</v>
      </c>
      <c r="U34">
        <v>32</v>
      </c>
      <c r="V34" s="4">
        <v>2</v>
      </c>
      <c r="W34" s="46">
        <f t="shared" ref="W34" si="14">IF(O34=R34,1,0)</f>
        <v>0</v>
      </c>
    </row>
    <row r="35" spans="2:23" ht="40" customHeight="1">
      <c r="B35" s="15"/>
      <c r="C35" s="25" t="s">
        <v>72</v>
      </c>
      <c r="D35" s="25"/>
      <c r="E35" s="25"/>
      <c r="F35" s="25" t="s">
        <v>73</v>
      </c>
      <c r="G35" s="25"/>
      <c r="H35" s="25"/>
      <c r="I35" s="25" t="s">
        <v>74</v>
      </c>
      <c r="J35" s="25"/>
      <c r="K35" s="25"/>
      <c r="L35" s="25" t="s">
        <v>75</v>
      </c>
      <c r="M35" s="25"/>
      <c r="N35" s="25"/>
      <c r="O35" s="18"/>
      <c r="P35" s="27"/>
      <c r="Q35" s="29"/>
      <c r="R35" s="30"/>
      <c r="U35">
        <v>33</v>
      </c>
      <c r="V35" s="4">
        <v>1</v>
      </c>
      <c r="W35" s="46"/>
    </row>
    <row r="36" spans="2:23" ht="40" customHeight="1">
      <c r="B36" s="14">
        <v>17</v>
      </c>
      <c r="C36" s="16" t="s">
        <v>76</v>
      </c>
      <c r="D36" s="16"/>
      <c r="E36" s="16"/>
      <c r="F36" s="16"/>
      <c r="G36" s="16"/>
      <c r="H36" s="16"/>
      <c r="I36" s="16"/>
      <c r="J36" s="16"/>
      <c r="K36" s="16"/>
      <c r="L36" s="16"/>
      <c r="M36" s="16"/>
      <c r="N36" s="16"/>
      <c r="O36" s="17"/>
      <c r="P36" s="19" t="str">
        <f>Q36</f>
        <v>×</v>
      </c>
      <c r="Q36" s="28" t="str">
        <f>IF(O36=R36,$S$3,$T$3)</f>
        <v>×</v>
      </c>
      <c r="R36" s="23" t="s">
        <v>287</v>
      </c>
      <c r="U36">
        <v>34</v>
      </c>
      <c r="V36" s="4">
        <v>2</v>
      </c>
      <c r="W36" s="46">
        <f t="shared" ref="W36" si="15">IF(O36=R36,1,0)</f>
        <v>0</v>
      </c>
    </row>
    <row r="37" spans="2:23" ht="40" customHeight="1">
      <c r="B37" s="15"/>
      <c r="C37" s="25" t="s">
        <v>77</v>
      </c>
      <c r="D37" s="25"/>
      <c r="E37" s="25"/>
      <c r="F37" s="25" t="s">
        <v>78</v>
      </c>
      <c r="G37" s="25"/>
      <c r="H37" s="25"/>
      <c r="I37" s="25" t="s">
        <v>79</v>
      </c>
      <c r="J37" s="25"/>
      <c r="K37" s="25"/>
      <c r="L37" s="25" t="s">
        <v>80</v>
      </c>
      <c r="M37" s="25"/>
      <c r="N37" s="25"/>
      <c r="O37" s="18"/>
      <c r="P37" s="27"/>
      <c r="Q37" s="29"/>
      <c r="R37" s="30"/>
      <c r="U37">
        <v>35</v>
      </c>
      <c r="V37" s="4">
        <v>1</v>
      </c>
      <c r="W37" s="46"/>
    </row>
    <row r="38" spans="2:23" ht="40" customHeight="1">
      <c r="B38" s="14">
        <v>18</v>
      </c>
      <c r="C38" s="16" t="s">
        <v>81</v>
      </c>
      <c r="D38" s="16"/>
      <c r="E38" s="16"/>
      <c r="F38" s="16"/>
      <c r="G38" s="16"/>
      <c r="H38" s="16"/>
      <c r="I38" s="16"/>
      <c r="J38" s="16"/>
      <c r="K38" s="16"/>
      <c r="L38" s="16"/>
      <c r="M38" s="16"/>
      <c r="N38" s="16"/>
      <c r="O38" s="17"/>
      <c r="P38" s="19" t="str">
        <f>Q38</f>
        <v>×</v>
      </c>
      <c r="Q38" s="28" t="str">
        <f>IF(O38=R38,$S$3,$T$3)</f>
        <v>×</v>
      </c>
      <c r="R38" s="23" t="s">
        <v>288</v>
      </c>
      <c r="U38">
        <v>36</v>
      </c>
      <c r="V38" s="4">
        <v>2</v>
      </c>
      <c r="W38" s="46">
        <f t="shared" ref="W38" si="16">IF(O38=R38,1,0)</f>
        <v>0</v>
      </c>
    </row>
    <row r="39" spans="2:23" ht="40" customHeight="1">
      <c r="B39" s="15"/>
      <c r="C39" s="25" t="s">
        <v>82</v>
      </c>
      <c r="D39" s="25"/>
      <c r="E39" s="25"/>
      <c r="F39" s="25" t="s">
        <v>83</v>
      </c>
      <c r="G39" s="25"/>
      <c r="H39" s="25"/>
      <c r="I39" s="25" t="s">
        <v>84</v>
      </c>
      <c r="J39" s="25"/>
      <c r="K39" s="25"/>
      <c r="L39" s="25" t="s">
        <v>85</v>
      </c>
      <c r="M39" s="25"/>
      <c r="N39" s="25"/>
      <c r="O39" s="18"/>
      <c r="P39" s="27"/>
      <c r="Q39" s="29"/>
      <c r="R39" s="30"/>
      <c r="U39">
        <v>37</v>
      </c>
      <c r="V39" s="4">
        <v>1</v>
      </c>
      <c r="W39" s="46"/>
    </row>
    <row r="40" spans="2:23" ht="40" customHeight="1">
      <c r="B40" s="14">
        <v>19</v>
      </c>
      <c r="C40" s="37" t="s">
        <v>86</v>
      </c>
      <c r="D40" s="38"/>
      <c r="E40" s="38"/>
      <c r="F40" s="38"/>
      <c r="G40" s="38"/>
      <c r="H40" s="38"/>
      <c r="I40" s="38"/>
      <c r="J40" s="38"/>
      <c r="K40" s="38"/>
      <c r="L40" s="38"/>
      <c r="M40" s="38"/>
      <c r="N40" s="39"/>
      <c r="O40" s="17"/>
      <c r="P40" s="19" t="str">
        <f>Q40</f>
        <v>×</v>
      </c>
      <c r="Q40" s="28" t="str">
        <f>IF(O40=R40,$S$3,$T$3)</f>
        <v>×</v>
      </c>
      <c r="R40" s="23" t="s">
        <v>290</v>
      </c>
      <c r="U40">
        <v>38</v>
      </c>
      <c r="V40" s="4">
        <v>2</v>
      </c>
      <c r="W40" s="46">
        <f t="shared" ref="W40" si="17">IF(O40=R40,1,0)</f>
        <v>0</v>
      </c>
    </row>
    <row r="41" spans="2:23" ht="40" customHeight="1">
      <c r="B41" s="15"/>
      <c r="C41" s="25" t="s">
        <v>87</v>
      </c>
      <c r="D41" s="25"/>
      <c r="E41" s="25"/>
      <c r="F41" s="25" t="s">
        <v>88</v>
      </c>
      <c r="G41" s="25"/>
      <c r="H41" s="25"/>
      <c r="I41" s="25" t="s">
        <v>89</v>
      </c>
      <c r="J41" s="25"/>
      <c r="K41" s="25"/>
      <c r="L41" s="25" t="s">
        <v>90</v>
      </c>
      <c r="M41" s="25"/>
      <c r="N41" s="25"/>
      <c r="O41" s="18"/>
      <c r="P41" s="27"/>
      <c r="Q41" s="29"/>
      <c r="R41" s="30"/>
      <c r="U41">
        <v>39</v>
      </c>
      <c r="V41" s="4">
        <v>1</v>
      </c>
      <c r="W41" s="46"/>
    </row>
    <row r="42" spans="2:23" ht="40" customHeight="1">
      <c r="B42" s="14">
        <v>20</v>
      </c>
      <c r="C42" s="16" t="s">
        <v>91</v>
      </c>
      <c r="D42" s="16"/>
      <c r="E42" s="16"/>
      <c r="F42" s="16"/>
      <c r="G42" s="16"/>
      <c r="H42" s="16"/>
      <c r="I42" s="16"/>
      <c r="J42" s="16"/>
      <c r="K42" s="16"/>
      <c r="L42" s="16"/>
      <c r="M42" s="16"/>
      <c r="N42" s="16"/>
      <c r="O42" s="17"/>
      <c r="P42" s="19" t="str">
        <f>Q42</f>
        <v>×</v>
      </c>
      <c r="Q42" s="28" t="str">
        <f>IF(O42=R42,$S$3,$T$3)</f>
        <v>×</v>
      </c>
      <c r="R42" s="23" t="s">
        <v>287</v>
      </c>
      <c r="U42">
        <v>40</v>
      </c>
      <c r="V42" s="4">
        <v>2</v>
      </c>
      <c r="W42" s="46">
        <f t="shared" ref="W42" si="18">IF(O42=R42,1,0)</f>
        <v>0</v>
      </c>
    </row>
    <row r="43" spans="2:23" ht="40" customHeight="1">
      <c r="B43" s="15"/>
      <c r="C43" s="25" t="s">
        <v>92</v>
      </c>
      <c r="D43" s="25"/>
      <c r="E43" s="25"/>
      <c r="F43" s="25" t="s">
        <v>93</v>
      </c>
      <c r="G43" s="25"/>
      <c r="H43" s="25"/>
      <c r="I43" s="25" t="s">
        <v>94</v>
      </c>
      <c r="J43" s="25"/>
      <c r="K43" s="25"/>
      <c r="L43" s="25" t="s">
        <v>95</v>
      </c>
      <c r="M43" s="25"/>
      <c r="N43" s="25"/>
      <c r="O43" s="18"/>
      <c r="P43" s="27"/>
      <c r="Q43" s="29"/>
      <c r="R43" s="30"/>
      <c r="U43">
        <v>41</v>
      </c>
      <c r="V43">
        <v>1</v>
      </c>
      <c r="W43" s="46"/>
    </row>
    <row r="44" spans="2:23" ht="40" customHeight="1">
      <c r="B44" s="14">
        <v>21</v>
      </c>
      <c r="C44" s="16" t="s">
        <v>96</v>
      </c>
      <c r="D44" s="16"/>
      <c r="E44" s="16"/>
      <c r="F44" s="16"/>
      <c r="G44" s="16"/>
      <c r="H44" s="16"/>
      <c r="I44" s="16"/>
      <c r="J44" s="16"/>
      <c r="K44" s="16"/>
      <c r="L44" s="16"/>
      <c r="M44" s="16"/>
      <c r="N44" s="16"/>
      <c r="O44" s="17"/>
      <c r="P44" s="19" t="str">
        <f>Q44</f>
        <v>×</v>
      </c>
      <c r="Q44" s="28" t="str">
        <f>IF(O44=R44,$S$3,$T$3)</f>
        <v>×</v>
      </c>
      <c r="R44" s="23" t="s">
        <v>288</v>
      </c>
      <c r="U44">
        <v>42</v>
      </c>
      <c r="V44" s="4">
        <v>2</v>
      </c>
      <c r="W44" s="46">
        <f t="shared" ref="W44" si="19">IF(O44=R44,1,0)</f>
        <v>0</v>
      </c>
    </row>
    <row r="45" spans="2:23" ht="40" customHeight="1">
      <c r="B45" s="15"/>
      <c r="C45" s="25" t="s">
        <v>97</v>
      </c>
      <c r="D45" s="25"/>
      <c r="E45" s="25"/>
      <c r="F45" s="25" t="s">
        <v>98</v>
      </c>
      <c r="G45" s="25"/>
      <c r="H45" s="25"/>
      <c r="I45" s="25" t="s">
        <v>99</v>
      </c>
      <c r="J45" s="25"/>
      <c r="K45" s="25"/>
      <c r="L45" s="25" t="s">
        <v>100</v>
      </c>
      <c r="M45" s="25"/>
      <c r="N45" s="25"/>
      <c r="O45" s="18"/>
      <c r="P45" s="27"/>
      <c r="Q45" s="29"/>
      <c r="R45" s="30"/>
      <c r="U45">
        <v>43</v>
      </c>
      <c r="V45" s="4">
        <v>1</v>
      </c>
      <c r="W45" s="46"/>
    </row>
    <row r="46" spans="2:23" ht="40" customHeight="1">
      <c r="B46" s="14">
        <v>22</v>
      </c>
      <c r="C46" s="37" t="s">
        <v>101</v>
      </c>
      <c r="D46" s="38"/>
      <c r="E46" s="38"/>
      <c r="F46" s="38"/>
      <c r="G46" s="38"/>
      <c r="H46" s="38"/>
      <c r="I46" s="38"/>
      <c r="J46" s="38"/>
      <c r="K46" s="38"/>
      <c r="L46" s="38"/>
      <c r="M46" s="38"/>
      <c r="N46" s="39"/>
      <c r="O46" s="17"/>
      <c r="P46" s="19" t="str">
        <f>Q46</f>
        <v>×</v>
      </c>
      <c r="Q46" s="28" t="str">
        <f>IF(O46=R46,$S$3,$T$3)</f>
        <v>×</v>
      </c>
      <c r="R46" s="23" t="s">
        <v>287</v>
      </c>
      <c r="U46">
        <v>44</v>
      </c>
      <c r="V46" s="4">
        <v>2</v>
      </c>
      <c r="W46" s="46">
        <f t="shared" ref="W46" si="20">IF(O46=R46,1,0)</f>
        <v>0</v>
      </c>
    </row>
    <row r="47" spans="2:23" ht="40" customHeight="1">
      <c r="B47" s="15"/>
      <c r="C47" s="25" t="s">
        <v>102</v>
      </c>
      <c r="D47" s="25"/>
      <c r="E47" s="25"/>
      <c r="F47" s="25" t="s">
        <v>103</v>
      </c>
      <c r="G47" s="25"/>
      <c r="H47" s="25"/>
      <c r="I47" s="25" t="s">
        <v>104</v>
      </c>
      <c r="J47" s="25"/>
      <c r="K47" s="25"/>
      <c r="L47" s="25" t="s">
        <v>105</v>
      </c>
      <c r="M47" s="25"/>
      <c r="N47" s="25"/>
      <c r="O47" s="18"/>
      <c r="P47" s="27"/>
      <c r="Q47" s="29"/>
      <c r="R47" s="30"/>
      <c r="U47">
        <v>45</v>
      </c>
      <c r="V47" s="4">
        <v>1</v>
      </c>
      <c r="W47" s="46"/>
    </row>
    <row r="48" spans="2:23" ht="40" customHeight="1">
      <c r="B48" s="14">
        <v>23</v>
      </c>
      <c r="C48" s="16" t="s">
        <v>106</v>
      </c>
      <c r="D48" s="16"/>
      <c r="E48" s="16"/>
      <c r="F48" s="16"/>
      <c r="G48" s="16"/>
      <c r="H48" s="16"/>
      <c r="I48" s="16"/>
      <c r="J48" s="16"/>
      <c r="K48" s="16"/>
      <c r="L48" s="16"/>
      <c r="M48" s="16"/>
      <c r="N48" s="16"/>
      <c r="O48" s="17"/>
      <c r="P48" s="19" t="str">
        <f>Q48</f>
        <v>×</v>
      </c>
      <c r="Q48" s="28" t="str">
        <f>IF(O48=R48,$S$3,$T$3)</f>
        <v>×</v>
      </c>
      <c r="R48" s="23" t="s">
        <v>289</v>
      </c>
      <c r="U48">
        <v>46</v>
      </c>
      <c r="V48" s="4">
        <v>2</v>
      </c>
      <c r="W48" s="46">
        <f t="shared" ref="W48" si="21">IF(O48=R48,1,0)</f>
        <v>0</v>
      </c>
    </row>
    <row r="49" spans="2:23" ht="40" customHeight="1">
      <c r="B49" s="15"/>
      <c r="C49" s="25" t="s">
        <v>107</v>
      </c>
      <c r="D49" s="25"/>
      <c r="E49" s="25"/>
      <c r="F49" s="25" t="s">
        <v>108</v>
      </c>
      <c r="G49" s="25"/>
      <c r="H49" s="25"/>
      <c r="I49" s="25" t="s">
        <v>109</v>
      </c>
      <c r="J49" s="25"/>
      <c r="K49" s="25"/>
      <c r="L49" s="25" t="s">
        <v>110</v>
      </c>
      <c r="M49" s="25"/>
      <c r="N49" s="25"/>
      <c r="O49" s="18"/>
      <c r="P49" s="27"/>
      <c r="Q49" s="29"/>
      <c r="R49" s="30"/>
      <c r="U49">
        <v>47</v>
      </c>
      <c r="V49" s="4">
        <v>1</v>
      </c>
      <c r="W49" s="46"/>
    </row>
    <row r="50" spans="2:23" ht="40" customHeight="1">
      <c r="B50" s="14">
        <v>24</v>
      </c>
      <c r="C50" s="16" t="s">
        <v>111</v>
      </c>
      <c r="D50" s="16"/>
      <c r="E50" s="16"/>
      <c r="F50" s="16"/>
      <c r="G50" s="16"/>
      <c r="H50" s="16"/>
      <c r="I50" s="16"/>
      <c r="J50" s="16"/>
      <c r="K50" s="16"/>
      <c r="L50" s="16"/>
      <c r="M50" s="16"/>
      <c r="N50" s="16"/>
      <c r="O50" s="17"/>
      <c r="P50" s="19" t="str">
        <f>Q50</f>
        <v>×</v>
      </c>
      <c r="Q50" s="28" t="str">
        <f>IF(O50=R50,$S$3,$T$3)</f>
        <v>×</v>
      </c>
      <c r="R50" s="23" t="s">
        <v>288</v>
      </c>
      <c r="U50">
        <v>48</v>
      </c>
      <c r="V50" s="4">
        <v>2</v>
      </c>
      <c r="W50" s="46">
        <f t="shared" ref="W50" si="22">IF(O50=R50,1,0)</f>
        <v>0</v>
      </c>
    </row>
    <row r="51" spans="2:23" ht="40" customHeight="1">
      <c r="B51" s="15"/>
      <c r="C51" s="25" t="s">
        <v>112</v>
      </c>
      <c r="D51" s="25"/>
      <c r="E51" s="25"/>
      <c r="F51" s="25" t="s">
        <v>113</v>
      </c>
      <c r="G51" s="25"/>
      <c r="H51" s="25"/>
      <c r="I51" s="25" t="s">
        <v>114</v>
      </c>
      <c r="J51" s="25"/>
      <c r="K51" s="25"/>
      <c r="L51" s="25" t="s">
        <v>115</v>
      </c>
      <c r="M51" s="25"/>
      <c r="N51" s="25"/>
      <c r="O51" s="18"/>
      <c r="P51" s="27"/>
      <c r="Q51" s="29"/>
      <c r="R51" s="30"/>
      <c r="U51">
        <v>49</v>
      </c>
      <c r="V51" s="4">
        <v>1</v>
      </c>
      <c r="W51" s="46"/>
    </row>
    <row r="52" spans="2:23" ht="40" customHeight="1">
      <c r="B52" s="14">
        <v>25</v>
      </c>
      <c r="C52" s="16" t="s">
        <v>116</v>
      </c>
      <c r="D52" s="16"/>
      <c r="E52" s="16"/>
      <c r="F52" s="16"/>
      <c r="G52" s="16"/>
      <c r="H52" s="16"/>
      <c r="I52" s="16"/>
      <c r="J52" s="16"/>
      <c r="K52" s="16"/>
      <c r="L52" s="16"/>
      <c r="M52" s="16"/>
      <c r="N52" s="16"/>
      <c r="O52" s="17"/>
      <c r="P52" s="19" t="str">
        <f>Q52</f>
        <v>×</v>
      </c>
      <c r="Q52" s="28" t="str">
        <f>IF(O52=R52,$S$3,$T$3)</f>
        <v>×</v>
      </c>
      <c r="R52" s="23" t="s">
        <v>288</v>
      </c>
      <c r="U52">
        <v>50</v>
      </c>
      <c r="V52" s="4">
        <v>2</v>
      </c>
      <c r="W52" s="46">
        <f t="shared" ref="W52" si="23">IF(O52=R52,1,0)</f>
        <v>0</v>
      </c>
    </row>
    <row r="53" spans="2:23" ht="40" customHeight="1">
      <c r="B53" s="15"/>
      <c r="C53" s="25" t="s">
        <v>117</v>
      </c>
      <c r="D53" s="25"/>
      <c r="E53" s="25"/>
      <c r="F53" s="25" t="s">
        <v>118</v>
      </c>
      <c r="G53" s="25"/>
      <c r="H53" s="25"/>
      <c r="I53" s="25" t="s">
        <v>119</v>
      </c>
      <c r="J53" s="25"/>
      <c r="K53" s="25"/>
      <c r="L53" s="25" t="s">
        <v>120</v>
      </c>
      <c r="M53" s="25"/>
      <c r="N53" s="25"/>
      <c r="O53" s="18"/>
      <c r="P53" s="27"/>
      <c r="Q53" s="29"/>
      <c r="R53" s="30"/>
      <c r="U53">
        <v>51</v>
      </c>
      <c r="V53">
        <v>1</v>
      </c>
      <c r="W53" s="46"/>
    </row>
    <row r="54" spans="2:23" ht="40" customHeight="1">
      <c r="B54" s="14">
        <v>26</v>
      </c>
      <c r="C54" s="16" t="s">
        <v>121</v>
      </c>
      <c r="D54" s="16"/>
      <c r="E54" s="16"/>
      <c r="F54" s="16"/>
      <c r="G54" s="16"/>
      <c r="H54" s="16"/>
      <c r="I54" s="16"/>
      <c r="J54" s="16"/>
      <c r="K54" s="16"/>
      <c r="L54" s="16"/>
      <c r="M54" s="16"/>
      <c r="N54" s="16"/>
      <c r="O54" s="17"/>
      <c r="P54" s="19" t="str">
        <f>Q54</f>
        <v>×</v>
      </c>
      <c r="Q54" s="28" t="str">
        <f>IF(O54=R54,$S$3,$T$3)</f>
        <v>×</v>
      </c>
      <c r="R54" s="23" t="s">
        <v>288</v>
      </c>
      <c r="U54">
        <v>52</v>
      </c>
      <c r="V54" s="4">
        <v>2</v>
      </c>
      <c r="W54" s="46">
        <f t="shared" ref="W54" si="24">IF(O54=R54,1,0)</f>
        <v>0</v>
      </c>
    </row>
    <row r="55" spans="2:23" ht="40" customHeight="1">
      <c r="B55" s="15"/>
      <c r="C55" s="25" t="s">
        <v>122</v>
      </c>
      <c r="D55" s="25"/>
      <c r="E55" s="25"/>
      <c r="F55" s="25" t="s">
        <v>123</v>
      </c>
      <c r="G55" s="25"/>
      <c r="H55" s="25"/>
      <c r="I55" s="25" t="s">
        <v>124</v>
      </c>
      <c r="J55" s="25"/>
      <c r="K55" s="25"/>
      <c r="L55" s="25" t="s">
        <v>125</v>
      </c>
      <c r="M55" s="25"/>
      <c r="N55" s="25"/>
      <c r="O55" s="18"/>
      <c r="P55" s="27"/>
      <c r="Q55" s="29"/>
      <c r="R55" s="30"/>
      <c r="U55">
        <v>53</v>
      </c>
      <c r="V55" s="4">
        <v>1</v>
      </c>
      <c r="W55" s="46"/>
    </row>
    <row r="56" spans="2:23" ht="40" customHeight="1">
      <c r="B56" s="14">
        <v>27</v>
      </c>
      <c r="C56" s="16" t="s">
        <v>126</v>
      </c>
      <c r="D56" s="16"/>
      <c r="E56" s="16"/>
      <c r="F56" s="16"/>
      <c r="G56" s="16"/>
      <c r="H56" s="16"/>
      <c r="I56" s="16"/>
      <c r="J56" s="16"/>
      <c r="K56" s="16"/>
      <c r="L56" s="16"/>
      <c r="M56" s="16"/>
      <c r="N56" s="16"/>
      <c r="O56" s="17"/>
      <c r="P56" s="19" t="str">
        <f>Q56</f>
        <v>×</v>
      </c>
      <c r="Q56" s="28" t="str">
        <f>IF(O56=R56,$S$3,$T$3)</f>
        <v>×</v>
      </c>
      <c r="R56" s="23" t="s">
        <v>290</v>
      </c>
      <c r="U56">
        <v>54</v>
      </c>
      <c r="V56" s="4">
        <v>2</v>
      </c>
      <c r="W56" s="46">
        <f t="shared" ref="W56" si="25">IF(O56=R56,1,0)</f>
        <v>0</v>
      </c>
    </row>
    <row r="57" spans="2:23" ht="40" customHeight="1">
      <c r="B57" s="15"/>
      <c r="C57" s="25" t="s">
        <v>127</v>
      </c>
      <c r="D57" s="25"/>
      <c r="E57" s="25"/>
      <c r="F57" s="25" t="s">
        <v>128</v>
      </c>
      <c r="G57" s="25"/>
      <c r="H57" s="25"/>
      <c r="I57" s="25" t="s">
        <v>129</v>
      </c>
      <c r="J57" s="25"/>
      <c r="K57" s="25"/>
      <c r="L57" s="25" t="s">
        <v>130</v>
      </c>
      <c r="M57" s="25"/>
      <c r="N57" s="25"/>
      <c r="O57" s="18"/>
      <c r="P57" s="27"/>
      <c r="Q57" s="29"/>
      <c r="R57" s="30"/>
      <c r="U57">
        <v>55</v>
      </c>
      <c r="V57" s="4">
        <v>1</v>
      </c>
      <c r="W57" s="46"/>
    </row>
    <row r="58" spans="2:23" s="4" customFormat="1" ht="40" customHeight="1">
      <c r="B58" s="14">
        <v>28</v>
      </c>
      <c r="C58" s="16" t="s">
        <v>131</v>
      </c>
      <c r="D58" s="16"/>
      <c r="E58" s="16"/>
      <c r="F58" s="16"/>
      <c r="G58" s="16"/>
      <c r="H58" s="16"/>
      <c r="I58" s="16"/>
      <c r="J58" s="16"/>
      <c r="K58" s="16"/>
      <c r="L58" s="16"/>
      <c r="M58" s="16"/>
      <c r="N58" s="16"/>
      <c r="O58" s="17"/>
      <c r="P58" s="19" t="str">
        <f>Q58</f>
        <v>×</v>
      </c>
      <c r="Q58" s="21" t="str">
        <f>IF(O58=R58,$S$3,$T$3)</f>
        <v>×</v>
      </c>
      <c r="R58" s="23" t="s">
        <v>287</v>
      </c>
      <c r="U58">
        <v>56</v>
      </c>
      <c r="V58" s="4">
        <v>2</v>
      </c>
      <c r="W58" s="46">
        <f t="shared" ref="W58" si="26">IF(O58=R58,1,0)</f>
        <v>0</v>
      </c>
    </row>
    <row r="59" spans="2:23" s="4" customFormat="1" ht="40" customHeight="1">
      <c r="B59" s="15"/>
      <c r="C59" s="25" t="s">
        <v>132</v>
      </c>
      <c r="D59" s="25"/>
      <c r="E59" s="25"/>
      <c r="F59" s="25" t="s">
        <v>133</v>
      </c>
      <c r="G59" s="25"/>
      <c r="H59" s="25"/>
      <c r="I59" s="25" t="s">
        <v>134</v>
      </c>
      <c r="J59" s="25"/>
      <c r="K59" s="25"/>
      <c r="L59" s="25" t="s">
        <v>135</v>
      </c>
      <c r="M59" s="25"/>
      <c r="N59" s="25"/>
      <c r="O59" s="18"/>
      <c r="P59" s="27"/>
      <c r="Q59" s="22"/>
      <c r="R59" s="30"/>
      <c r="U59">
        <v>57</v>
      </c>
      <c r="V59" s="4">
        <v>1</v>
      </c>
      <c r="W59" s="46"/>
    </row>
    <row r="60" spans="2:23" s="4" customFormat="1" ht="40" customHeight="1">
      <c r="B60" s="14">
        <v>29</v>
      </c>
      <c r="C60" s="16" t="s">
        <v>136</v>
      </c>
      <c r="D60" s="16"/>
      <c r="E60" s="16"/>
      <c r="F60" s="16"/>
      <c r="G60" s="16"/>
      <c r="H60" s="16"/>
      <c r="I60" s="16"/>
      <c r="J60" s="16"/>
      <c r="K60" s="16"/>
      <c r="L60" s="16"/>
      <c r="M60" s="16"/>
      <c r="N60" s="16"/>
      <c r="O60" s="17"/>
      <c r="P60" s="19" t="str">
        <f>Q60</f>
        <v>×</v>
      </c>
      <c r="Q60" s="21" t="str">
        <f>IF(O60=R60,$S$3,$T$3)</f>
        <v>×</v>
      </c>
      <c r="R60" s="23" t="s">
        <v>290</v>
      </c>
      <c r="U60">
        <v>58</v>
      </c>
      <c r="V60" s="4">
        <v>2</v>
      </c>
      <c r="W60" s="46">
        <f t="shared" ref="W60" si="27">IF(O60=R60,1,0)</f>
        <v>0</v>
      </c>
    </row>
    <row r="61" spans="2:23" s="4" customFormat="1" ht="40" customHeight="1">
      <c r="B61" s="15"/>
      <c r="C61" s="25" t="s">
        <v>137</v>
      </c>
      <c r="D61" s="25"/>
      <c r="E61" s="25"/>
      <c r="F61" s="25" t="s">
        <v>138</v>
      </c>
      <c r="G61" s="25"/>
      <c r="H61" s="25"/>
      <c r="I61" s="25" t="s">
        <v>139</v>
      </c>
      <c r="J61" s="25"/>
      <c r="K61" s="25"/>
      <c r="L61" s="25" t="s">
        <v>140</v>
      </c>
      <c r="M61" s="25"/>
      <c r="N61" s="25"/>
      <c r="O61" s="18"/>
      <c r="P61" s="27"/>
      <c r="Q61" s="22"/>
      <c r="R61" s="30"/>
      <c r="U61">
        <v>59</v>
      </c>
      <c r="V61" s="4">
        <v>1</v>
      </c>
      <c r="W61" s="46"/>
    </row>
    <row r="62" spans="2:23" s="4" customFormat="1" ht="40" customHeight="1">
      <c r="B62" s="14">
        <v>30</v>
      </c>
      <c r="C62" s="16" t="s">
        <v>141</v>
      </c>
      <c r="D62" s="16"/>
      <c r="E62" s="16"/>
      <c r="F62" s="16"/>
      <c r="G62" s="16"/>
      <c r="H62" s="16"/>
      <c r="I62" s="16"/>
      <c r="J62" s="16"/>
      <c r="K62" s="16"/>
      <c r="L62" s="16"/>
      <c r="M62" s="16"/>
      <c r="N62" s="16"/>
      <c r="O62" s="17"/>
      <c r="P62" s="19" t="str">
        <f>Q62</f>
        <v>×</v>
      </c>
      <c r="Q62" s="21" t="str">
        <f>IF(O62=R62,$S$3,$T$3)</f>
        <v>×</v>
      </c>
      <c r="R62" s="23" t="s">
        <v>289</v>
      </c>
      <c r="U62">
        <v>60</v>
      </c>
      <c r="V62" s="4">
        <v>2</v>
      </c>
      <c r="W62" s="46">
        <f t="shared" ref="W62" si="28">IF(O62=R62,1,0)</f>
        <v>0</v>
      </c>
    </row>
    <row r="63" spans="2:23" s="4" customFormat="1" ht="40" customHeight="1">
      <c r="B63" s="15"/>
      <c r="C63" s="25" t="s">
        <v>142</v>
      </c>
      <c r="D63" s="25"/>
      <c r="E63" s="25"/>
      <c r="F63" s="25" t="s">
        <v>143</v>
      </c>
      <c r="G63" s="25"/>
      <c r="H63" s="25"/>
      <c r="I63" s="25" t="s">
        <v>144</v>
      </c>
      <c r="J63" s="25"/>
      <c r="K63" s="25"/>
      <c r="L63" s="25" t="s">
        <v>145</v>
      </c>
      <c r="M63" s="25"/>
      <c r="N63" s="25"/>
      <c r="O63" s="18"/>
      <c r="P63" s="27"/>
      <c r="Q63" s="22"/>
      <c r="R63" s="30"/>
      <c r="U63">
        <v>61</v>
      </c>
      <c r="V63">
        <v>1</v>
      </c>
      <c r="W63" s="46"/>
    </row>
    <row r="64" spans="2:23" ht="40" customHeight="1">
      <c r="B64" s="14">
        <v>31</v>
      </c>
      <c r="C64" s="16" t="s">
        <v>146</v>
      </c>
      <c r="D64" s="16"/>
      <c r="E64" s="16"/>
      <c r="F64" s="16"/>
      <c r="G64" s="16"/>
      <c r="H64" s="16"/>
      <c r="I64" s="16"/>
      <c r="J64" s="16"/>
      <c r="K64" s="16"/>
      <c r="L64" s="16"/>
      <c r="M64" s="16"/>
      <c r="N64" s="16"/>
      <c r="O64" s="17"/>
      <c r="P64" s="19" t="str">
        <f>Q64</f>
        <v>×</v>
      </c>
      <c r="Q64" s="28" t="str">
        <f>IF(O64=R64,$S$3,$T$3)</f>
        <v>×</v>
      </c>
      <c r="R64" s="23" t="s">
        <v>287</v>
      </c>
      <c r="U64">
        <v>62</v>
      </c>
      <c r="V64" s="4">
        <v>2</v>
      </c>
      <c r="W64" s="46">
        <f t="shared" ref="W64" si="29">IF(O64=R64,1,0)</f>
        <v>0</v>
      </c>
    </row>
    <row r="65" spans="1:23" ht="40" customHeight="1">
      <c r="B65" s="15"/>
      <c r="C65" s="25" t="s">
        <v>63</v>
      </c>
      <c r="D65" s="25"/>
      <c r="E65" s="25"/>
      <c r="F65" s="25" t="s">
        <v>147</v>
      </c>
      <c r="G65" s="25"/>
      <c r="H65" s="25"/>
      <c r="I65" s="25" t="s">
        <v>148</v>
      </c>
      <c r="J65" s="25"/>
      <c r="K65" s="25"/>
      <c r="L65" s="25" t="s">
        <v>149</v>
      </c>
      <c r="M65" s="25"/>
      <c r="N65" s="25"/>
      <c r="O65" s="18"/>
      <c r="P65" s="27"/>
      <c r="Q65" s="29"/>
      <c r="R65" s="30"/>
      <c r="U65">
        <v>63</v>
      </c>
      <c r="V65" s="4">
        <v>1</v>
      </c>
      <c r="W65" s="46"/>
    </row>
    <row r="66" spans="1:23" ht="40" customHeight="1">
      <c r="B66" s="14">
        <v>32</v>
      </c>
      <c r="C66" s="16" t="s">
        <v>150</v>
      </c>
      <c r="D66" s="16"/>
      <c r="E66" s="16"/>
      <c r="F66" s="16"/>
      <c r="G66" s="16"/>
      <c r="H66" s="16"/>
      <c r="I66" s="16"/>
      <c r="J66" s="16"/>
      <c r="K66" s="16"/>
      <c r="L66" s="16"/>
      <c r="M66" s="16"/>
      <c r="N66" s="16"/>
      <c r="O66" s="17"/>
      <c r="P66" s="19" t="str">
        <f>Q66</f>
        <v>×</v>
      </c>
      <c r="Q66" s="28" t="str">
        <f>IF(O66=R66,$S$3,$T$3)</f>
        <v>×</v>
      </c>
      <c r="R66" s="23" t="s">
        <v>289</v>
      </c>
      <c r="U66">
        <v>64</v>
      </c>
      <c r="V66" s="4">
        <v>2</v>
      </c>
      <c r="W66" s="46">
        <f t="shared" ref="W66" si="30">IF(O66=R66,1,0)</f>
        <v>0</v>
      </c>
    </row>
    <row r="67" spans="1:23" ht="40" customHeight="1">
      <c r="B67" s="15"/>
      <c r="C67" s="25" t="s">
        <v>151</v>
      </c>
      <c r="D67" s="25"/>
      <c r="E67" s="25"/>
      <c r="F67" s="25" t="s">
        <v>152</v>
      </c>
      <c r="G67" s="25"/>
      <c r="H67" s="25"/>
      <c r="I67" s="25" t="s">
        <v>153</v>
      </c>
      <c r="J67" s="25"/>
      <c r="K67" s="25"/>
      <c r="L67" s="25" t="s">
        <v>53</v>
      </c>
      <c r="M67" s="25"/>
      <c r="N67" s="25"/>
      <c r="O67" s="18"/>
      <c r="P67" s="27"/>
      <c r="Q67" s="29"/>
      <c r="R67" s="30"/>
      <c r="U67">
        <v>65</v>
      </c>
      <c r="V67" s="4">
        <v>1</v>
      </c>
      <c r="W67" s="46"/>
    </row>
    <row r="68" spans="1:23" ht="40" customHeight="1">
      <c r="B68" s="14">
        <v>33</v>
      </c>
      <c r="C68" s="37" t="s">
        <v>154</v>
      </c>
      <c r="D68" s="38"/>
      <c r="E68" s="38"/>
      <c r="F68" s="38"/>
      <c r="G68" s="38"/>
      <c r="H68" s="38"/>
      <c r="I68" s="38"/>
      <c r="J68" s="38"/>
      <c r="K68" s="38"/>
      <c r="L68" s="38"/>
      <c r="M68" s="38"/>
      <c r="N68" s="39"/>
      <c r="O68" s="17"/>
      <c r="P68" s="19" t="str">
        <f>Q68</f>
        <v>×</v>
      </c>
      <c r="Q68" s="28" t="str">
        <f>IF(O68=R68,$S$3,$T$3)</f>
        <v>×</v>
      </c>
      <c r="R68" s="23" t="s">
        <v>289</v>
      </c>
      <c r="U68">
        <v>66</v>
      </c>
      <c r="V68" s="4">
        <v>2</v>
      </c>
      <c r="W68" s="46">
        <f t="shared" ref="W68" si="31">IF(O68=R68,1,0)</f>
        <v>0</v>
      </c>
    </row>
    <row r="69" spans="1:23" ht="40" customHeight="1">
      <c r="B69" s="15"/>
      <c r="C69" s="25" t="s">
        <v>155</v>
      </c>
      <c r="D69" s="25"/>
      <c r="E69" s="25"/>
      <c r="F69" s="24" t="s">
        <v>283</v>
      </c>
      <c r="G69" s="25"/>
      <c r="H69" s="25"/>
      <c r="I69" s="25" t="s">
        <v>156</v>
      </c>
      <c r="J69" s="25"/>
      <c r="K69" s="25"/>
      <c r="L69" s="25" t="s">
        <v>157</v>
      </c>
      <c r="M69" s="25"/>
      <c r="N69" s="25"/>
      <c r="O69" s="18"/>
      <c r="P69" s="27"/>
      <c r="Q69" s="29"/>
      <c r="R69" s="30"/>
      <c r="U69">
        <v>67</v>
      </c>
      <c r="V69" s="4">
        <v>1</v>
      </c>
      <c r="W69" s="46"/>
    </row>
    <row r="70" spans="1:23" ht="40" customHeight="1">
      <c r="A70" s="4"/>
      <c r="B70" s="14">
        <v>34</v>
      </c>
      <c r="C70" s="16" t="s">
        <v>158</v>
      </c>
      <c r="D70" s="16"/>
      <c r="E70" s="16"/>
      <c r="F70" s="16"/>
      <c r="G70" s="16"/>
      <c r="H70" s="16"/>
      <c r="I70" s="16"/>
      <c r="J70" s="16"/>
      <c r="K70" s="16"/>
      <c r="L70" s="16"/>
      <c r="M70" s="16"/>
      <c r="N70" s="16"/>
      <c r="O70" s="17"/>
      <c r="P70" s="19" t="str">
        <f>Q70</f>
        <v>×</v>
      </c>
      <c r="Q70" s="28" t="str">
        <f>IF(O70=R70,$S$3,$T$3)</f>
        <v>×</v>
      </c>
      <c r="R70" s="23" t="s">
        <v>290</v>
      </c>
      <c r="U70">
        <v>68</v>
      </c>
      <c r="V70" s="4">
        <v>2</v>
      </c>
      <c r="W70" s="46">
        <f t="shared" ref="W70" si="32">IF(O70=R70,1,0)</f>
        <v>0</v>
      </c>
    </row>
    <row r="71" spans="1:23" ht="40" customHeight="1">
      <c r="A71" s="4"/>
      <c r="B71" s="15"/>
      <c r="C71" s="25" t="s">
        <v>159</v>
      </c>
      <c r="D71" s="25"/>
      <c r="E71" s="25"/>
      <c r="F71" s="25" t="s">
        <v>160</v>
      </c>
      <c r="G71" s="25"/>
      <c r="H71" s="25"/>
      <c r="I71" s="25" t="s">
        <v>161</v>
      </c>
      <c r="J71" s="25"/>
      <c r="K71" s="25"/>
      <c r="L71" s="25" t="s">
        <v>162</v>
      </c>
      <c r="M71" s="25"/>
      <c r="N71" s="25"/>
      <c r="O71" s="18"/>
      <c r="P71" s="27"/>
      <c r="Q71" s="29"/>
      <c r="R71" s="30"/>
      <c r="U71">
        <v>69</v>
      </c>
      <c r="V71" s="4">
        <v>1</v>
      </c>
      <c r="W71" s="46"/>
    </row>
    <row r="72" spans="1:23" ht="40" customHeight="1">
      <c r="B72" s="14">
        <v>35</v>
      </c>
      <c r="C72" s="40" t="s">
        <v>163</v>
      </c>
      <c r="D72" s="16"/>
      <c r="E72" s="16"/>
      <c r="F72" s="16"/>
      <c r="G72" s="16"/>
      <c r="H72" s="16"/>
      <c r="I72" s="16"/>
      <c r="J72" s="16"/>
      <c r="K72" s="16"/>
      <c r="L72" s="16"/>
      <c r="M72" s="16"/>
      <c r="N72" s="16"/>
      <c r="O72" s="17"/>
      <c r="P72" s="19" t="str">
        <f>Q72</f>
        <v>×</v>
      </c>
      <c r="Q72" s="28" t="str">
        <f>IF(O72=R72,$S$3,$T$3)</f>
        <v>×</v>
      </c>
      <c r="R72" s="23" t="s">
        <v>289</v>
      </c>
      <c r="U72">
        <v>70</v>
      </c>
      <c r="V72" s="4">
        <v>2</v>
      </c>
      <c r="W72" s="46">
        <f t="shared" ref="W72" si="33">IF(O72=R72,1,0)</f>
        <v>0</v>
      </c>
    </row>
    <row r="73" spans="1:23" ht="40" customHeight="1">
      <c r="B73" s="15"/>
      <c r="C73" s="34" t="s">
        <v>46</v>
      </c>
      <c r="D73" s="35"/>
      <c r="E73" s="36"/>
      <c r="F73" s="25" t="s">
        <v>164</v>
      </c>
      <c r="G73" s="25"/>
      <c r="H73" s="25"/>
      <c r="I73" s="25" t="s">
        <v>165</v>
      </c>
      <c r="J73" s="25"/>
      <c r="K73" s="25"/>
      <c r="L73" s="25" t="s">
        <v>166</v>
      </c>
      <c r="M73" s="25"/>
      <c r="N73" s="25"/>
      <c r="O73" s="18"/>
      <c r="P73" s="27"/>
      <c r="Q73" s="29"/>
      <c r="R73" s="30"/>
      <c r="U73">
        <v>71</v>
      </c>
      <c r="V73">
        <v>1</v>
      </c>
      <c r="W73" s="46"/>
    </row>
    <row r="74" spans="1:23" ht="40" customHeight="1">
      <c r="B74" s="14">
        <v>36</v>
      </c>
      <c r="C74" s="16" t="s">
        <v>167</v>
      </c>
      <c r="D74" s="16"/>
      <c r="E74" s="16"/>
      <c r="F74" s="16"/>
      <c r="G74" s="16"/>
      <c r="H74" s="16"/>
      <c r="I74" s="16"/>
      <c r="J74" s="16"/>
      <c r="K74" s="16"/>
      <c r="L74" s="16"/>
      <c r="M74" s="16"/>
      <c r="N74" s="16"/>
      <c r="O74" s="17"/>
      <c r="P74" s="19" t="str">
        <f>Q74</f>
        <v>×</v>
      </c>
      <c r="Q74" s="28" t="str">
        <f>IF(O74=R74,$S$3,$T$3)</f>
        <v>×</v>
      </c>
      <c r="R74" s="23" t="s">
        <v>287</v>
      </c>
      <c r="U74">
        <v>72</v>
      </c>
      <c r="V74" s="4">
        <v>2</v>
      </c>
      <c r="W74" s="46">
        <f t="shared" ref="W74" si="34">IF(O74=R74,1,0)</f>
        <v>0</v>
      </c>
    </row>
    <row r="75" spans="1:23" ht="40" customHeight="1">
      <c r="B75" s="15"/>
      <c r="C75" s="25" t="s">
        <v>46</v>
      </c>
      <c r="D75" s="25"/>
      <c r="E75" s="25"/>
      <c r="F75" s="25" t="s">
        <v>21</v>
      </c>
      <c r="G75" s="25"/>
      <c r="H75" s="25"/>
      <c r="I75" s="25" t="s">
        <v>47</v>
      </c>
      <c r="J75" s="25"/>
      <c r="K75" s="25"/>
      <c r="L75" s="25" t="s">
        <v>168</v>
      </c>
      <c r="M75" s="25"/>
      <c r="N75" s="25"/>
      <c r="O75" s="18"/>
      <c r="P75" s="27"/>
      <c r="Q75" s="29"/>
      <c r="R75" s="30"/>
      <c r="U75">
        <v>73</v>
      </c>
      <c r="V75" s="4">
        <v>1</v>
      </c>
      <c r="W75" s="46"/>
    </row>
    <row r="76" spans="1:23" ht="40" customHeight="1">
      <c r="B76" s="14">
        <v>37</v>
      </c>
      <c r="C76" s="16" t="s">
        <v>169</v>
      </c>
      <c r="D76" s="16"/>
      <c r="E76" s="16"/>
      <c r="F76" s="16"/>
      <c r="G76" s="16"/>
      <c r="H76" s="16"/>
      <c r="I76" s="16"/>
      <c r="J76" s="16"/>
      <c r="K76" s="16"/>
      <c r="L76" s="16"/>
      <c r="M76" s="16"/>
      <c r="N76" s="16"/>
      <c r="O76" s="17"/>
      <c r="P76" s="19" t="str">
        <f>Q76</f>
        <v>×</v>
      </c>
      <c r="Q76" s="28" t="str">
        <f>IF(O76=R76,$S$3,$T$3)</f>
        <v>×</v>
      </c>
      <c r="R76" s="23" t="s">
        <v>289</v>
      </c>
      <c r="U76">
        <v>74</v>
      </c>
      <c r="V76" s="4">
        <v>2</v>
      </c>
      <c r="W76" s="46">
        <f t="shared" ref="W76" si="35">IF(O76=R76,1,0)</f>
        <v>0</v>
      </c>
    </row>
    <row r="77" spans="1:23" ht="40" customHeight="1">
      <c r="B77" s="15"/>
      <c r="C77" s="25" t="s">
        <v>170</v>
      </c>
      <c r="D77" s="25"/>
      <c r="E77" s="25"/>
      <c r="F77" s="25" t="s">
        <v>171</v>
      </c>
      <c r="G77" s="25"/>
      <c r="H77" s="25"/>
      <c r="I77" s="25" t="s">
        <v>156</v>
      </c>
      <c r="J77" s="25"/>
      <c r="K77" s="25"/>
      <c r="L77" s="25" t="s">
        <v>172</v>
      </c>
      <c r="M77" s="25"/>
      <c r="N77" s="25"/>
      <c r="O77" s="18"/>
      <c r="P77" s="27"/>
      <c r="Q77" s="29"/>
      <c r="R77" s="30"/>
      <c r="U77">
        <v>75</v>
      </c>
      <c r="V77" s="4">
        <v>1</v>
      </c>
      <c r="W77" s="46"/>
    </row>
    <row r="78" spans="1:23" ht="40" customHeight="1">
      <c r="B78" s="14">
        <v>38</v>
      </c>
      <c r="C78" s="16" t="s">
        <v>173</v>
      </c>
      <c r="D78" s="16"/>
      <c r="E78" s="16"/>
      <c r="F78" s="16"/>
      <c r="G78" s="16"/>
      <c r="H78" s="16"/>
      <c r="I78" s="16"/>
      <c r="J78" s="16"/>
      <c r="K78" s="16"/>
      <c r="L78" s="16"/>
      <c r="M78" s="16"/>
      <c r="N78" s="16"/>
      <c r="O78" s="17"/>
      <c r="P78" s="19" t="str">
        <f>Q78</f>
        <v>×</v>
      </c>
      <c r="Q78" s="28" t="str">
        <f>IF(O78=R78,$S$3,$T$3)</f>
        <v>×</v>
      </c>
      <c r="R78" s="23" t="s">
        <v>289</v>
      </c>
      <c r="U78">
        <v>76</v>
      </c>
      <c r="V78" s="4">
        <v>2</v>
      </c>
      <c r="W78" s="46">
        <f t="shared" ref="W78" si="36">IF(O78=R78,1,0)</f>
        <v>0</v>
      </c>
    </row>
    <row r="79" spans="1:23" s="4" customFormat="1" ht="40" customHeight="1">
      <c r="B79" s="15"/>
      <c r="C79" s="34" t="s">
        <v>174</v>
      </c>
      <c r="D79" s="35"/>
      <c r="E79" s="36"/>
      <c r="F79" s="25" t="s">
        <v>175</v>
      </c>
      <c r="G79" s="25"/>
      <c r="H79" s="25"/>
      <c r="I79" s="25" t="s">
        <v>176</v>
      </c>
      <c r="J79" s="25"/>
      <c r="K79" s="25"/>
      <c r="L79" s="25" t="s">
        <v>177</v>
      </c>
      <c r="M79" s="25"/>
      <c r="N79" s="25"/>
      <c r="O79" s="18"/>
      <c r="P79" s="27"/>
      <c r="Q79" s="29"/>
      <c r="R79" s="30"/>
      <c r="U79">
        <v>77</v>
      </c>
      <c r="V79" s="4">
        <v>1</v>
      </c>
      <c r="W79" s="46"/>
    </row>
    <row r="80" spans="1:23" s="4" customFormat="1" ht="40" customHeight="1">
      <c r="B80" s="14">
        <v>39</v>
      </c>
      <c r="C80" s="16" t="s">
        <v>178</v>
      </c>
      <c r="D80" s="16"/>
      <c r="E80" s="16"/>
      <c r="F80" s="16"/>
      <c r="G80" s="16"/>
      <c r="H80" s="16"/>
      <c r="I80" s="16"/>
      <c r="J80" s="16"/>
      <c r="K80" s="16"/>
      <c r="L80" s="16"/>
      <c r="M80" s="16"/>
      <c r="N80" s="16"/>
      <c r="O80" s="17"/>
      <c r="P80" s="19" t="str">
        <f>Q80</f>
        <v>×</v>
      </c>
      <c r="Q80" s="28" t="str">
        <f>IF(O80=R80,$S$3,$T$3)</f>
        <v>×</v>
      </c>
      <c r="R80" s="23" t="s">
        <v>288</v>
      </c>
      <c r="U80">
        <v>78</v>
      </c>
      <c r="V80" s="4">
        <v>2</v>
      </c>
      <c r="W80" s="46">
        <f t="shared" ref="W80" si="37">IF(O80=R80,1,0)</f>
        <v>0</v>
      </c>
    </row>
    <row r="81" spans="2:23" s="4" customFormat="1" ht="40" customHeight="1">
      <c r="B81" s="15"/>
      <c r="C81" s="25" t="s">
        <v>179</v>
      </c>
      <c r="D81" s="25"/>
      <c r="E81" s="25"/>
      <c r="F81" s="25" t="s">
        <v>175</v>
      </c>
      <c r="G81" s="25"/>
      <c r="H81" s="25"/>
      <c r="I81" s="25" t="s">
        <v>180</v>
      </c>
      <c r="J81" s="25"/>
      <c r="K81" s="25"/>
      <c r="L81" s="24" t="s">
        <v>284</v>
      </c>
      <c r="M81" s="25"/>
      <c r="N81" s="25"/>
      <c r="O81" s="18"/>
      <c r="P81" s="27"/>
      <c r="Q81" s="29"/>
      <c r="R81" s="30"/>
      <c r="U81">
        <v>79</v>
      </c>
      <c r="V81" s="4">
        <v>1</v>
      </c>
      <c r="W81" s="46"/>
    </row>
    <row r="82" spans="2:23" s="4" customFormat="1" ht="40" customHeight="1">
      <c r="B82" s="14">
        <v>40</v>
      </c>
      <c r="C82" s="16" t="s">
        <v>181</v>
      </c>
      <c r="D82" s="16"/>
      <c r="E82" s="16"/>
      <c r="F82" s="16"/>
      <c r="G82" s="16"/>
      <c r="H82" s="16"/>
      <c r="I82" s="16"/>
      <c r="J82" s="16"/>
      <c r="K82" s="16"/>
      <c r="L82" s="16"/>
      <c r="M82" s="16"/>
      <c r="N82" s="16"/>
      <c r="O82" s="17"/>
      <c r="P82" s="19" t="str">
        <f>Q82</f>
        <v>×</v>
      </c>
      <c r="Q82" s="21" t="str">
        <f>IF(O82=R82,$S$3,$T$3)</f>
        <v>×</v>
      </c>
      <c r="R82" s="23" t="s">
        <v>289</v>
      </c>
      <c r="U82">
        <v>80</v>
      </c>
      <c r="V82" s="4">
        <v>2</v>
      </c>
      <c r="W82" s="46">
        <f t="shared" ref="W82" si="38">IF(O82=R82,1,0)</f>
        <v>0</v>
      </c>
    </row>
    <row r="83" spans="2:23" s="4" customFormat="1" ht="40" customHeight="1">
      <c r="B83" s="15"/>
      <c r="C83" s="25" t="s">
        <v>182</v>
      </c>
      <c r="D83" s="25"/>
      <c r="E83" s="25"/>
      <c r="F83" s="25" t="s">
        <v>183</v>
      </c>
      <c r="G83" s="25"/>
      <c r="H83" s="25"/>
      <c r="I83" s="25" t="s">
        <v>184</v>
      </c>
      <c r="J83" s="25"/>
      <c r="K83" s="25"/>
      <c r="L83" s="25" t="s">
        <v>185</v>
      </c>
      <c r="M83" s="25"/>
      <c r="N83" s="25"/>
      <c r="O83" s="18"/>
      <c r="P83" s="27"/>
      <c r="Q83" s="22"/>
      <c r="R83" s="23"/>
      <c r="U83">
        <v>81</v>
      </c>
      <c r="V83">
        <v>1</v>
      </c>
      <c r="W83" s="46"/>
    </row>
    <row r="84" spans="2:23" s="4" customFormat="1" ht="40" customHeight="1">
      <c r="B84" s="14">
        <v>41</v>
      </c>
      <c r="C84" s="16" t="s">
        <v>186</v>
      </c>
      <c r="D84" s="16"/>
      <c r="E84" s="16"/>
      <c r="F84" s="16"/>
      <c r="G84" s="16"/>
      <c r="H84" s="16"/>
      <c r="I84" s="16"/>
      <c r="J84" s="16"/>
      <c r="K84" s="16"/>
      <c r="L84" s="16"/>
      <c r="M84" s="16"/>
      <c r="N84" s="16"/>
      <c r="O84" s="17"/>
      <c r="P84" s="19" t="str">
        <f>Q84</f>
        <v>×</v>
      </c>
      <c r="Q84" s="21" t="str">
        <f>IF(O84=R84,$S$3,$T$3)</f>
        <v>×</v>
      </c>
      <c r="R84" s="23" t="s">
        <v>288</v>
      </c>
      <c r="U84">
        <v>82</v>
      </c>
      <c r="V84" s="4">
        <v>2</v>
      </c>
      <c r="W84" s="46">
        <f t="shared" ref="W84" si="39">IF(O84=R84,1,0)</f>
        <v>0</v>
      </c>
    </row>
    <row r="85" spans="2:23" s="4" customFormat="1" ht="40" customHeight="1">
      <c r="B85" s="15"/>
      <c r="C85" s="25" t="s">
        <v>187</v>
      </c>
      <c r="D85" s="25"/>
      <c r="E85" s="25"/>
      <c r="F85" s="25" t="s">
        <v>188</v>
      </c>
      <c r="G85" s="25"/>
      <c r="H85" s="25"/>
      <c r="I85" s="25" t="s">
        <v>189</v>
      </c>
      <c r="J85" s="25"/>
      <c r="K85" s="25"/>
      <c r="L85" s="25" t="s">
        <v>190</v>
      </c>
      <c r="M85" s="25"/>
      <c r="N85" s="25"/>
      <c r="O85" s="18"/>
      <c r="P85" s="27"/>
      <c r="Q85" s="22"/>
      <c r="R85" s="23"/>
      <c r="U85">
        <v>83</v>
      </c>
      <c r="V85" s="4">
        <v>1</v>
      </c>
      <c r="W85" s="46"/>
    </row>
    <row r="86" spans="2:23" ht="40" customHeight="1">
      <c r="B86" s="14">
        <v>42</v>
      </c>
      <c r="C86" s="16" t="s">
        <v>191</v>
      </c>
      <c r="D86" s="16"/>
      <c r="E86" s="16"/>
      <c r="F86" s="16"/>
      <c r="G86" s="16"/>
      <c r="H86" s="16"/>
      <c r="I86" s="16"/>
      <c r="J86" s="16"/>
      <c r="K86" s="16"/>
      <c r="L86" s="16"/>
      <c r="M86" s="16"/>
      <c r="N86" s="16"/>
      <c r="O86" s="17"/>
      <c r="P86" s="19" t="str">
        <f>Q86</f>
        <v>×</v>
      </c>
      <c r="Q86" s="28" t="str">
        <f>IF(O86=R86,$S$3,$T$3)</f>
        <v>×</v>
      </c>
      <c r="R86" s="23" t="s">
        <v>290</v>
      </c>
      <c r="U86">
        <v>84</v>
      </c>
      <c r="V86" s="4">
        <v>2</v>
      </c>
      <c r="W86" s="46">
        <f t="shared" ref="W86" si="40">IF(O86=R86,1,0)</f>
        <v>0</v>
      </c>
    </row>
    <row r="87" spans="2:23" ht="40" customHeight="1">
      <c r="B87" s="15"/>
      <c r="C87" s="25" t="s">
        <v>192</v>
      </c>
      <c r="D87" s="25"/>
      <c r="E87" s="25"/>
      <c r="F87" s="25" t="s">
        <v>193</v>
      </c>
      <c r="G87" s="25"/>
      <c r="H87" s="25"/>
      <c r="I87" s="25" t="s">
        <v>194</v>
      </c>
      <c r="J87" s="25"/>
      <c r="K87" s="25"/>
      <c r="L87" s="25" t="s">
        <v>195</v>
      </c>
      <c r="M87" s="25"/>
      <c r="N87" s="25"/>
      <c r="O87" s="18"/>
      <c r="P87" s="27"/>
      <c r="Q87" s="29"/>
      <c r="R87" s="30"/>
      <c r="U87">
        <v>85</v>
      </c>
      <c r="V87" s="4">
        <v>1</v>
      </c>
      <c r="W87" s="46"/>
    </row>
    <row r="88" spans="2:23" ht="40" customHeight="1">
      <c r="B88" s="14">
        <v>43</v>
      </c>
      <c r="C88" s="16" t="s">
        <v>196</v>
      </c>
      <c r="D88" s="16"/>
      <c r="E88" s="16"/>
      <c r="F88" s="16"/>
      <c r="G88" s="16"/>
      <c r="H88" s="16"/>
      <c r="I88" s="16"/>
      <c r="J88" s="16"/>
      <c r="K88" s="16"/>
      <c r="L88" s="16"/>
      <c r="M88" s="16"/>
      <c r="N88" s="16"/>
      <c r="O88" s="17"/>
      <c r="P88" s="19" t="str">
        <f>Q88</f>
        <v>×</v>
      </c>
      <c r="Q88" s="28" t="str">
        <f>IF(O88=R88,$S$3,$T$3)</f>
        <v>×</v>
      </c>
      <c r="R88" s="23" t="s">
        <v>288</v>
      </c>
      <c r="U88">
        <v>86</v>
      </c>
      <c r="V88" s="4">
        <v>2</v>
      </c>
      <c r="W88" s="46">
        <f t="shared" ref="W88" si="41">IF(O88=R88,1,0)</f>
        <v>0</v>
      </c>
    </row>
    <row r="89" spans="2:23" ht="40" customHeight="1">
      <c r="B89" s="15"/>
      <c r="C89" s="25" t="s">
        <v>197</v>
      </c>
      <c r="D89" s="25"/>
      <c r="E89" s="25"/>
      <c r="F89" s="25" t="s">
        <v>198</v>
      </c>
      <c r="G89" s="25"/>
      <c r="H89" s="25"/>
      <c r="I89" s="25" t="s">
        <v>199</v>
      </c>
      <c r="J89" s="25"/>
      <c r="K89" s="25"/>
      <c r="L89" s="25" t="s">
        <v>200</v>
      </c>
      <c r="M89" s="25"/>
      <c r="N89" s="25"/>
      <c r="O89" s="18"/>
      <c r="P89" s="27"/>
      <c r="Q89" s="29"/>
      <c r="R89" s="30"/>
      <c r="U89">
        <v>87</v>
      </c>
      <c r="V89" s="4">
        <v>1</v>
      </c>
      <c r="W89" s="46"/>
    </row>
    <row r="90" spans="2:23" ht="40" customHeight="1">
      <c r="B90" s="14">
        <v>44</v>
      </c>
      <c r="C90" s="16" t="s">
        <v>201</v>
      </c>
      <c r="D90" s="16"/>
      <c r="E90" s="16"/>
      <c r="F90" s="16"/>
      <c r="G90" s="16"/>
      <c r="H90" s="16"/>
      <c r="I90" s="16"/>
      <c r="J90" s="16"/>
      <c r="K90" s="16"/>
      <c r="L90" s="16"/>
      <c r="M90" s="16"/>
      <c r="N90" s="16"/>
      <c r="O90" s="17"/>
      <c r="P90" s="19" t="str">
        <f>Q90</f>
        <v>×</v>
      </c>
      <c r="Q90" s="28" t="str">
        <f>IF(O90=R90,$S$3,$T$3)</f>
        <v>×</v>
      </c>
      <c r="R90" s="23" t="s">
        <v>287</v>
      </c>
      <c r="U90">
        <v>88</v>
      </c>
      <c r="V90" s="4">
        <v>2</v>
      </c>
      <c r="W90" s="46">
        <f t="shared" ref="W90" si="42">IF(O90=R90,1,0)</f>
        <v>0</v>
      </c>
    </row>
    <row r="91" spans="2:23" ht="40" customHeight="1">
      <c r="B91" s="15"/>
      <c r="C91" s="25" t="s">
        <v>202</v>
      </c>
      <c r="D91" s="25"/>
      <c r="E91" s="25"/>
      <c r="F91" s="25" t="s">
        <v>203</v>
      </c>
      <c r="G91" s="25"/>
      <c r="H91" s="25"/>
      <c r="I91" s="25" t="s">
        <v>204</v>
      </c>
      <c r="J91" s="25"/>
      <c r="K91" s="25"/>
      <c r="L91" s="25" t="s">
        <v>205</v>
      </c>
      <c r="M91" s="25"/>
      <c r="N91" s="25"/>
      <c r="O91" s="18"/>
      <c r="P91" s="27"/>
      <c r="Q91" s="29"/>
      <c r="R91" s="30"/>
      <c r="U91">
        <v>89</v>
      </c>
      <c r="V91" s="4">
        <v>1</v>
      </c>
      <c r="W91" s="46"/>
    </row>
    <row r="92" spans="2:23" s="4" customFormat="1" ht="40" customHeight="1">
      <c r="B92" s="14">
        <v>45</v>
      </c>
      <c r="C92" s="16" t="s">
        <v>206</v>
      </c>
      <c r="D92" s="16"/>
      <c r="E92" s="16"/>
      <c r="F92" s="16"/>
      <c r="G92" s="16"/>
      <c r="H92" s="16"/>
      <c r="I92" s="16"/>
      <c r="J92" s="16"/>
      <c r="K92" s="16"/>
      <c r="L92" s="16"/>
      <c r="M92" s="16"/>
      <c r="N92" s="16"/>
      <c r="O92" s="17"/>
      <c r="P92" s="19" t="str">
        <f>Q92</f>
        <v>×</v>
      </c>
      <c r="Q92" s="21" t="str">
        <f>IF(O92=R92,$S$3,$T$3)</f>
        <v>×</v>
      </c>
      <c r="R92" s="23" t="s">
        <v>290</v>
      </c>
      <c r="U92">
        <v>90</v>
      </c>
      <c r="V92" s="4">
        <v>2</v>
      </c>
      <c r="W92" s="46">
        <f t="shared" ref="W92" si="43">IF(O92=R92,1,0)</f>
        <v>0</v>
      </c>
    </row>
    <row r="93" spans="2:23" s="4" customFormat="1" ht="40" customHeight="1">
      <c r="B93" s="15"/>
      <c r="C93" s="25" t="s">
        <v>207</v>
      </c>
      <c r="D93" s="25"/>
      <c r="E93" s="25"/>
      <c r="F93" s="25" t="s">
        <v>208</v>
      </c>
      <c r="G93" s="25"/>
      <c r="H93" s="25"/>
      <c r="I93" s="25" t="s">
        <v>209</v>
      </c>
      <c r="J93" s="25"/>
      <c r="K93" s="25"/>
      <c r="L93" s="25" t="s">
        <v>210</v>
      </c>
      <c r="M93" s="25"/>
      <c r="N93" s="25"/>
      <c r="O93" s="18"/>
      <c r="P93" s="27"/>
      <c r="Q93" s="22"/>
      <c r="R93" s="23"/>
      <c r="U93">
        <v>91</v>
      </c>
      <c r="V93">
        <v>1</v>
      </c>
      <c r="W93" s="46"/>
    </row>
    <row r="94" spans="2:23" s="4" customFormat="1" ht="40" customHeight="1">
      <c r="B94" s="14">
        <v>46</v>
      </c>
      <c r="C94" s="16" t="s">
        <v>211</v>
      </c>
      <c r="D94" s="16"/>
      <c r="E94" s="16"/>
      <c r="F94" s="16"/>
      <c r="G94" s="16"/>
      <c r="H94" s="16"/>
      <c r="I94" s="16"/>
      <c r="J94" s="16"/>
      <c r="K94" s="16"/>
      <c r="L94" s="16"/>
      <c r="M94" s="16"/>
      <c r="N94" s="16"/>
      <c r="O94" s="17"/>
      <c r="P94" s="19" t="str">
        <f>Q94</f>
        <v>×</v>
      </c>
      <c r="Q94" s="21" t="str">
        <f>IF(O94=R94,$S$3,$T$3)</f>
        <v>×</v>
      </c>
      <c r="R94" s="23" t="s">
        <v>288</v>
      </c>
      <c r="U94">
        <v>92</v>
      </c>
      <c r="V94" s="4">
        <v>2</v>
      </c>
      <c r="W94" s="46">
        <f t="shared" ref="W94" si="44">IF(O94=R94,1,0)</f>
        <v>0</v>
      </c>
    </row>
    <row r="95" spans="2:23" s="4" customFormat="1" ht="40" customHeight="1">
      <c r="B95" s="15"/>
      <c r="C95" s="25" t="s">
        <v>212</v>
      </c>
      <c r="D95" s="25"/>
      <c r="E95" s="25"/>
      <c r="F95" s="25" t="s">
        <v>213</v>
      </c>
      <c r="G95" s="25"/>
      <c r="H95" s="25"/>
      <c r="I95" s="25" t="s">
        <v>214</v>
      </c>
      <c r="J95" s="25"/>
      <c r="K95" s="25"/>
      <c r="L95" s="25" t="s">
        <v>215</v>
      </c>
      <c r="M95" s="25"/>
      <c r="N95" s="25"/>
      <c r="O95" s="18"/>
      <c r="P95" s="27"/>
      <c r="Q95" s="22"/>
      <c r="R95" s="23"/>
      <c r="U95">
        <v>93</v>
      </c>
      <c r="V95" s="4">
        <v>1</v>
      </c>
      <c r="W95" s="46"/>
    </row>
    <row r="96" spans="2:23" s="4" customFormat="1" ht="40" customHeight="1">
      <c r="B96" s="14">
        <v>47</v>
      </c>
      <c r="C96" s="16" t="s">
        <v>216</v>
      </c>
      <c r="D96" s="16"/>
      <c r="E96" s="16"/>
      <c r="F96" s="16"/>
      <c r="G96" s="16"/>
      <c r="H96" s="16"/>
      <c r="I96" s="16"/>
      <c r="J96" s="16"/>
      <c r="K96" s="16"/>
      <c r="L96" s="16"/>
      <c r="M96" s="16"/>
      <c r="N96" s="16"/>
      <c r="O96" s="17"/>
      <c r="P96" s="19" t="str">
        <f>Q96</f>
        <v>×</v>
      </c>
      <c r="Q96" s="21" t="str">
        <f>IF(O96=R96,$S$3,$T$3)</f>
        <v>×</v>
      </c>
      <c r="R96" s="23" t="s">
        <v>288</v>
      </c>
      <c r="U96">
        <v>94</v>
      </c>
      <c r="V96" s="4">
        <v>2</v>
      </c>
      <c r="W96" s="46">
        <f t="shared" ref="W96" si="45">IF(O96=R96,1,0)</f>
        <v>0</v>
      </c>
    </row>
    <row r="97" spans="2:23" s="4" customFormat="1" ht="40" customHeight="1">
      <c r="B97" s="15"/>
      <c r="C97" s="25" t="s">
        <v>217</v>
      </c>
      <c r="D97" s="25"/>
      <c r="E97" s="25"/>
      <c r="F97" s="25" t="s">
        <v>218</v>
      </c>
      <c r="G97" s="25"/>
      <c r="H97" s="25"/>
      <c r="I97" s="25" t="s">
        <v>219</v>
      </c>
      <c r="J97" s="25"/>
      <c r="K97" s="25"/>
      <c r="L97" s="25" t="s">
        <v>220</v>
      </c>
      <c r="M97" s="25"/>
      <c r="N97" s="25"/>
      <c r="O97" s="18"/>
      <c r="P97" s="27"/>
      <c r="Q97" s="22"/>
      <c r="R97" s="23"/>
      <c r="U97">
        <v>95</v>
      </c>
      <c r="V97" s="4">
        <v>1</v>
      </c>
      <c r="W97" s="46"/>
    </row>
    <row r="98" spans="2:23" s="4" customFormat="1" ht="40" customHeight="1">
      <c r="B98" s="14">
        <v>48</v>
      </c>
      <c r="C98" s="16" t="s">
        <v>221</v>
      </c>
      <c r="D98" s="16"/>
      <c r="E98" s="16"/>
      <c r="F98" s="16"/>
      <c r="G98" s="16"/>
      <c r="H98" s="16"/>
      <c r="I98" s="16"/>
      <c r="J98" s="16"/>
      <c r="K98" s="16"/>
      <c r="L98" s="16"/>
      <c r="M98" s="16"/>
      <c r="N98" s="16"/>
      <c r="O98" s="17"/>
      <c r="P98" s="19" t="str">
        <f>Q98</f>
        <v>×</v>
      </c>
      <c r="Q98" s="21" t="str">
        <f>IF(O98=R98,$S$3,$T$3)</f>
        <v>×</v>
      </c>
      <c r="R98" s="23" t="s">
        <v>287</v>
      </c>
      <c r="U98">
        <v>96</v>
      </c>
      <c r="V98" s="4">
        <v>2</v>
      </c>
      <c r="W98" s="46">
        <f t="shared" ref="W98" si="46">IF(O98=R98,1,0)</f>
        <v>0</v>
      </c>
    </row>
    <row r="99" spans="2:23" s="4" customFormat="1" ht="40" customHeight="1">
      <c r="B99" s="15"/>
      <c r="C99" s="41" t="s">
        <v>293</v>
      </c>
      <c r="D99" s="41"/>
      <c r="E99" s="41"/>
      <c r="F99" s="41" t="s">
        <v>294</v>
      </c>
      <c r="G99" s="41"/>
      <c r="H99" s="41"/>
      <c r="I99" s="41" t="s">
        <v>295</v>
      </c>
      <c r="J99" s="41"/>
      <c r="K99" s="41"/>
      <c r="L99" s="41" t="s">
        <v>296</v>
      </c>
      <c r="M99" s="41"/>
      <c r="N99" s="41"/>
      <c r="O99" s="18"/>
      <c r="P99" s="27"/>
      <c r="Q99" s="22"/>
      <c r="R99" s="23"/>
      <c r="U99">
        <v>97</v>
      </c>
      <c r="V99" s="4">
        <v>1</v>
      </c>
      <c r="W99" s="46"/>
    </row>
    <row r="100" spans="2:23" s="4" customFormat="1" ht="40" customHeight="1">
      <c r="B100" s="14">
        <v>49</v>
      </c>
      <c r="C100" s="16" t="s">
        <v>222</v>
      </c>
      <c r="D100" s="16"/>
      <c r="E100" s="16"/>
      <c r="F100" s="16"/>
      <c r="G100" s="16"/>
      <c r="H100" s="16"/>
      <c r="I100" s="16"/>
      <c r="J100" s="16"/>
      <c r="K100" s="16"/>
      <c r="L100" s="16"/>
      <c r="M100" s="16"/>
      <c r="N100" s="16"/>
      <c r="O100" s="17"/>
      <c r="P100" s="19" t="str">
        <f>Q100</f>
        <v>×</v>
      </c>
      <c r="Q100" s="21" t="str">
        <f>IF(O100=R100,$S$3,$T$3)</f>
        <v>×</v>
      </c>
      <c r="R100" s="23" t="s">
        <v>287</v>
      </c>
      <c r="U100">
        <v>98</v>
      </c>
      <c r="V100" s="4">
        <v>2</v>
      </c>
      <c r="W100" s="46">
        <f t="shared" ref="W100" si="47">IF(O100=R100,1,0)</f>
        <v>0</v>
      </c>
    </row>
    <row r="101" spans="2:23" s="4" customFormat="1" ht="40" customHeight="1">
      <c r="B101" s="15"/>
      <c r="C101" s="25" t="s">
        <v>223</v>
      </c>
      <c r="D101" s="25"/>
      <c r="E101" s="25"/>
      <c r="F101" s="25" t="s">
        <v>224</v>
      </c>
      <c r="G101" s="25"/>
      <c r="H101" s="25"/>
      <c r="I101" s="25" t="s">
        <v>225</v>
      </c>
      <c r="J101" s="25"/>
      <c r="K101" s="25"/>
      <c r="L101" s="25" t="s">
        <v>226</v>
      </c>
      <c r="M101" s="25"/>
      <c r="N101" s="25"/>
      <c r="O101" s="18"/>
      <c r="P101" s="27"/>
      <c r="Q101" s="22"/>
      <c r="R101" s="23"/>
      <c r="U101">
        <v>99</v>
      </c>
      <c r="V101" s="4">
        <v>1</v>
      </c>
      <c r="W101" s="46"/>
    </row>
    <row r="102" spans="2:23" s="4" customFormat="1" ht="40" customHeight="1">
      <c r="B102" s="43">
        <v>50</v>
      </c>
      <c r="C102" s="45" t="s">
        <v>227</v>
      </c>
      <c r="D102" s="45"/>
      <c r="E102" s="45"/>
      <c r="F102" s="45"/>
      <c r="G102" s="45"/>
      <c r="H102" s="45"/>
      <c r="I102" s="45"/>
      <c r="J102" s="45"/>
      <c r="K102" s="45"/>
      <c r="L102" s="45"/>
      <c r="M102" s="45"/>
      <c r="N102" s="45"/>
      <c r="O102" s="17"/>
      <c r="P102" s="19" t="str">
        <f>Q102</f>
        <v>×</v>
      </c>
      <c r="Q102" s="21" t="str">
        <f>IF(O102=R102,$S$3,$T$3)</f>
        <v>×</v>
      </c>
      <c r="R102" s="23" t="s">
        <v>288</v>
      </c>
      <c r="U102">
        <v>100</v>
      </c>
      <c r="V102" s="4">
        <v>2</v>
      </c>
      <c r="W102" s="46">
        <f t="shared" ref="W102" si="48">IF(O102=R102,1,0)</f>
        <v>0</v>
      </c>
    </row>
    <row r="103" spans="2:23" s="4" customFormat="1" ht="40" customHeight="1">
      <c r="B103" s="44"/>
      <c r="C103" s="42" t="s">
        <v>228</v>
      </c>
      <c r="D103" s="42"/>
      <c r="E103" s="42"/>
      <c r="F103" s="42" t="s">
        <v>229</v>
      </c>
      <c r="G103" s="42"/>
      <c r="H103" s="42"/>
      <c r="I103" s="42" t="s">
        <v>230</v>
      </c>
      <c r="J103" s="42"/>
      <c r="K103" s="42"/>
      <c r="L103" s="42" t="s">
        <v>231</v>
      </c>
      <c r="M103" s="42"/>
      <c r="N103" s="42"/>
      <c r="O103" s="18"/>
      <c r="P103" s="27"/>
      <c r="Q103" s="22"/>
      <c r="R103" s="23"/>
      <c r="U103">
        <v>101</v>
      </c>
      <c r="V103">
        <v>1</v>
      </c>
      <c r="W103" s="46"/>
    </row>
    <row r="104" spans="2:23" ht="40" customHeight="1">
      <c r="B104" s="14">
        <v>51</v>
      </c>
      <c r="C104" s="16" t="s">
        <v>232</v>
      </c>
      <c r="D104" s="16"/>
      <c r="E104" s="16"/>
      <c r="F104" s="16"/>
      <c r="G104" s="16"/>
      <c r="H104" s="16"/>
      <c r="I104" s="16"/>
      <c r="J104" s="16"/>
      <c r="K104" s="16"/>
      <c r="L104" s="16"/>
      <c r="M104" s="16"/>
      <c r="N104" s="16"/>
      <c r="O104" s="17"/>
      <c r="P104" s="19" t="str">
        <f>Q104</f>
        <v>×</v>
      </c>
      <c r="Q104" s="28" t="str">
        <f>IF(O104=R104,$S$3,$T$3)</f>
        <v>×</v>
      </c>
      <c r="R104" s="23" t="s">
        <v>290</v>
      </c>
      <c r="U104">
        <v>102</v>
      </c>
      <c r="V104" s="4">
        <v>2</v>
      </c>
      <c r="W104" s="46">
        <f t="shared" ref="W104" si="49">IF(O104=R104,1,0)</f>
        <v>0</v>
      </c>
    </row>
    <row r="105" spans="2:23" ht="40" customHeight="1">
      <c r="B105" s="15"/>
      <c r="C105" s="25" t="s">
        <v>233</v>
      </c>
      <c r="D105" s="25"/>
      <c r="E105" s="25"/>
      <c r="F105" s="25" t="s">
        <v>234</v>
      </c>
      <c r="G105" s="25"/>
      <c r="H105" s="25"/>
      <c r="I105" s="25" t="s">
        <v>235</v>
      </c>
      <c r="J105" s="25"/>
      <c r="K105" s="25"/>
      <c r="L105" s="25" t="s">
        <v>236</v>
      </c>
      <c r="M105" s="25"/>
      <c r="N105" s="25"/>
      <c r="O105" s="18"/>
      <c r="P105" s="27"/>
      <c r="Q105" s="29"/>
      <c r="R105" s="30"/>
      <c r="U105">
        <v>103</v>
      </c>
      <c r="V105" s="4">
        <v>1</v>
      </c>
      <c r="W105" s="46"/>
    </row>
    <row r="106" spans="2:23" ht="40" customHeight="1">
      <c r="B106" s="14">
        <v>52</v>
      </c>
      <c r="C106" s="16" t="s">
        <v>237</v>
      </c>
      <c r="D106" s="16"/>
      <c r="E106" s="16"/>
      <c r="F106" s="16"/>
      <c r="G106" s="16"/>
      <c r="H106" s="16"/>
      <c r="I106" s="16"/>
      <c r="J106" s="16"/>
      <c r="K106" s="16"/>
      <c r="L106" s="16"/>
      <c r="M106" s="16"/>
      <c r="N106" s="16"/>
      <c r="O106" s="17"/>
      <c r="P106" s="19" t="str">
        <f>Q106</f>
        <v>×</v>
      </c>
      <c r="Q106" s="28" t="str">
        <f>IF(O106=R106,$S$3,$T$3)</f>
        <v>×</v>
      </c>
      <c r="R106" s="23" t="s">
        <v>290</v>
      </c>
      <c r="U106">
        <v>104</v>
      </c>
      <c r="V106" s="4">
        <v>2</v>
      </c>
      <c r="W106" s="46">
        <f t="shared" ref="W106" si="50">IF(O106=R106,1,0)</f>
        <v>0</v>
      </c>
    </row>
    <row r="107" spans="2:23" ht="40" customHeight="1">
      <c r="B107" s="15"/>
      <c r="C107" s="25" t="s">
        <v>238</v>
      </c>
      <c r="D107" s="25"/>
      <c r="E107" s="25"/>
      <c r="F107" s="25" t="s">
        <v>239</v>
      </c>
      <c r="G107" s="25"/>
      <c r="H107" s="25"/>
      <c r="I107" s="25" t="s">
        <v>240</v>
      </c>
      <c r="J107" s="25"/>
      <c r="K107" s="25"/>
      <c r="L107" s="25" t="s">
        <v>241</v>
      </c>
      <c r="M107" s="25"/>
      <c r="N107" s="25"/>
      <c r="O107" s="18"/>
      <c r="P107" s="27"/>
      <c r="Q107" s="29"/>
      <c r="R107" s="30"/>
      <c r="U107">
        <v>105</v>
      </c>
      <c r="V107" s="4">
        <v>1</v>
      </c>
      <c r="W107" s="46"/>
    </row>
    <row r="108" spans="2:23" ht="40" customHeight="1">
      <c r="B108" s="14">
        <v>53</v>
      </c>
      <c r="C108" s="16" t="s">
        <v>242</v>
      </c>
      <c r="D108" s="16"/>
      <c r="E108" s="16"/>
      <c r="F108" s="16"/>
      <c r="G108" s="16"/>
      <c r="H108" s="16"/>
      <c r="I108" s="16"/>
      <c r="J108" s="16"/>
      <c r="K108" s="16"/>
      <c r="L108" s="16"/>
      <c r="M108" s="16"/>
      <c r="N108" s="16"/>
      <c r="O108" s="17"/>
      <c r="P108" s="19" t="str">
        <f>Q108</f>
        <v>×</v>
      </c>
      <c r="Q108" s="28" t="str">
        <f>IF(O108=R108,$S$3,$T$3)</f>
        <v>×</v>
      </c>
      <c r="R108" s="23" t="s">
        <v>287</v>
      </c>
      <c r="U108">
        <v>106</v>
      </c>
      <c r="V108" s="4">
        <v>2</v>
      </c>
      <c r="W108" s="46">
        <f t="shared" ref="W108" si="51">IF(O108=R108,1,0)</f>
        <v>0</v>
      </c>
    </row>
    <row r="109" spans="2:23" ht="40" customHeight="1">
      <c r="B109" s="15"/>
      <c r="C109" s="25" t="s">
        <v>243</v>
      </c>
      <c r="D109" s="25"/>
      <c r="E109" s="25"/>
      <c r="F109" s="25" t="s">
        <v>244</v>
      </c>
      <c r="G109" s="25"/>
      <c r="H109" s="25"/>
      <c r="I109" s="25" t="s">
        <v>245</v>
      </c>
      <c r="J109" s="25"/>
      <c r="K109" s="25"/>
      <c r="L109" s="25" t="s">
        <v>246</v>
      </c>
      <c r="M109" s="25"/>
      <c r="N109" s="25"/>
      <c r="O109" s="18"/>
      <c r="P109" s="27"/>
      <c r="Q109" s="29"/>
      <c r="R109" s="30"/>
      <c r="U109">
        <v>107</v>
      </c>
      <c r="V109" s="4">
        <v>1</v>
      </c>
      <c r="W109" s="46"/>
    </row>
    <row r="110" spans="2:23" ht="40" customHeight="1">
      <c r="B110" s="14">
        <v>54</v>
      </c>
      <c r="C110" s="16" t="s">
        <v>247</v>
      </c>
      <c r="D110" s="16"/>
      <c r="E110" s="16"/>
      <c r="F110" s="16"/>
      <c r="G110" s="16"/>
      <c r="H110" s="16"/>
      <c r="I110" s="16"/>
      <c r="J110" s="16"/>
      <c r="K110" s="16"/>
      <c r="L110" s="16"/>
      <c r="M110" s="16"/>
      <c r="N110" s="16"/>
      <c r="O110" s="17"/>
      <c r="P110" s="19" t="str">
        <f>Q110</f>
        <v>×</v>
      </c>
      <c r="Q110" s="28" t="str">
        <f>IF(O110=R110,$S$3,$T$3)</f>
        <v>×</v>
      </c>
      <c r="R110" s="23" t="s">
        <v>287</v>
      </c>
      <c r="U110">
        <v>108</v>
      </c>
      <c r="V110" s="4">
        <v>2</v>
      </c>
      <c r="W110" s="46">
        <f t="shared" ref="W110" si="52">IF(O110=R110,1,0)</f>
        <v>0</v>
      </c>
    </row>
    <row r="111" spans="2:23" ht="40" customHeight="1">
      <c r="B111" s="15"/>
      <c r="C111" s="25" t="s">
        <v>248</v>
      </c>
      <c r="D111" s="25"/>
      <c r="E111" s="25"/>
      <c r="F111" s="25" t="s">
        <v>249</v>
      </c>
      <c r="G111" s="25"/>
      <c r="H111" s="25"/>
      <c r="I111" s="25" t="s">
        <v>250</v>
      </c>
      <c r="J111" s="25"/>
      <c r="K111" s="25"/>
      <c r="L111" s="25" t="s">
        <v>251</v>
      </c>
      <c r="M111" s="25"/>
      <c r="N111" s="25"/>
      <c r="O111" s="18"/>
      <c r="P111" s="27"/>
      <c r="Q111" s="29"/>
      <c r="R111" s="30"/>
      <c r="U111">
        <v>109</v>
      </c>
      <c r="V111" s="4">
        <v>1</v>
      </c>
      <c r="W111" s="46"/>
    </row>
    <row r="112" spans="2:23" ht="40" customHeight="1">
      <c r="B112" s="14">
        <v>55</v>
      </c>
      <c r="C112" s="16" t="s">
        <v>252</v>
      </c>
      <c r="D112" s="16"/>
      <c r="E112" s="16"/>
      <c r="F112" s="16"/>
      <c r="G112" s="16"/>
      <c r="H112" s="16"/>
      <c r="I112" s="16"/>
      <c r="J112" s="16"/>
      <c r="K112" s="16"/>
      <c r="L112" s="16"/>
      <c r="M112" s="16"/>
      <c r="N112" s="16"/>
      <c r="O112" s="17"/>
      <c r="P112" s="19" t="str">
        <f>Q112</f>
        <v>×</v>
      </c>
      <c r="Q112" s="28" t="str">
        <f>IF(O112=R112,$S$3,$T$3)</f>
        <v>×</v>
      </c>
      <c r="R112" s="23" t="s">
        <v>288</v>
      </c>
      <c r="U112">
        <v>110</v>
      </c>
      <c r="V112" s="4">
        <v>2</v>
      </c>
      <c r="W112" s="46">
        <f t="shared" ref="W112" si="53">IF(O112=R112,1,0)</f>
        <v>0</v>
      </c>
    </row>
    <row r="113" spans="2:23" ht="40" customHeight="1">
      <c r="B113" s="15"/>
      <c r="C113" s="25" t="s">
        <v>253</v>
      </c>
      <c r="D113" s="25"/>
      <c r="E113" s="25"/>
      <c r="F113" s="25" t="s">
        <v>254</v>
      </c>
      <c r="G113" s="25"/>
      <c r="H113" s="25"/>
      <c r="I113" s="25" t="s">
        <v>255</v>
      </c>
      <c r="J113" s="25"/>
      <c r="K113" s="25"/>
      <c r="L113" s="25" t="s">
        <v>256</v>
      </c>
      <c r="M113" s="25"/>
      <c r="N113" s="25"/>
      <c r="O113" s="18"/>
      <c r="P113" s="27"/>
      <c r="Q113" s="29"/>
      <c r="R113" s="30"/>
      <c r="U113">
        <v>111</v>
      </c>
      <c r="V113">
        <v>1</v>
      </c>
      <c r="W113" s="46"/>
    </row>
    <row r="114" spans="2:23" ht="40" customHeight="1">
      <c r="B114" s="14">
        <v>56</v>
      </c>
      <c r="C114" s="16" t="s">
        <v>257</v>
      </c>
      <c r="D114" s="16"/>
      <c r="E114" s="16"/>
      <c r="F114" s="16"/>
      <c r="G114" s="16"/>
      <c r="H114" s="16"/>
      <c r="I114" s="16"/>
      <c r="J114" s="16"/>
      <c r="K114" s="16"/>
      <c r="L114" s="16"/>
      <c r="M114" s="16"/>
      <c r="N114" s="16"/>
      <c r="O114" s="17"/>
      <c r="P114" s="19" t="str">
        <f>Q114</f>
        <v>×</v>
      </c>
      <c r="Q114" s="28" t="str">
        <f>IF(O114=R114,$S$3,$T$3)</f>
        <v>×</v>
      </c>
      <c r="R114" s="23" t="s">
        <v>288</v>
      </c>
      <c r="U114">
        <v>112</v>
      </c>
      <c r="V114" s="4">
        <v>2</v>
      </c>
      <c r="W114" s="46">
        <f t="shared" ref="W114" si="54">IF(O114=R114,1,0)</f>
        <v>0</v>
      </c>
    </row>
    <row r="115" spans="2:23" ht="40" customHeight="1">
      <c r="B115" s="15"/>
      <c r="C115" s="25" t="s">
        <v>258</v>
      </c>
      <c r="D115" s="25"/>
      <c r="E115" s="25"/>
      <c r="F115" s="25" t="s">
        <v>259</v>
      </c>
      <c r="G115" s="25"/>
      <c r="H115" s="25"/>
      <c r="I115" s="25" t="s">
        <v>260</v>
      </c>
      <c r="J115" s="25"/>
      <c r="K115" s="25"/>
      <c r="L115" s="25" t="s">
        <v>261</v>
      </c>
      <c r="M115" s="25"/>
      <c r="N115" s="25"/>
      <c r="O115" s="18"/>
      <c r="P115" s="27"/>
      <c r="Q115" s="29"/>
      <c r="R115" s="30"/>
      <c r="U115">
        <v>113</v>
      </c>
      <c r="V115" s="4">
        <v>1</v>
      </c>
      <c r="W115" s="46"/>
    </row>
    <row r="116" spans="2:23" ht="40" customHeight="1">
      <c r="B116" s="14">
        <v>57</v>
      </c>
      <c r="C116" s="16" t="s">
        <v>262</v>
      </c>
      <c r="D116" s="16"/>
      <c r="E116" s="16"/>
      <c r="F116" s="16"/>
      <c r="G116" s="16"/>
      <c r="H116" s="16"/>
      <c r="I116" s="16"/>
      <c r="J116" s="16"/>
      <c r="K116" s="16"/>
      <c r="L116" s="16"/>
      <c r="M116" s="16"/>
      <c r="N116" s="16"/>
      <c r="O116" s="17"/>
      <c r="P116" s="19" t="str">
        <f>Q116</f>
        <v>×</v>
      </c>
      <c r="Q116" s="28" t="str">
        <f>IF(O116=R116,$S$3,$T$3)</f>
        <v>×</v>
      </c>
      <c r="R116" s="23" t="s">
        <v>287</v>
      </c>
      <c r="U116">
        <v>114</v>
      </c>
      <c r="V116" s="4">
        <v>2</v>
      </c>
      <c r="W116" s="46">
        <f t="shared" ref="W116" si="55">IF(O116=R116,1,0)</f>
        <v>0</v>
      </c>
    </row>
    <row r="117" spans="2:23" ht="40" customHeight="1">
      <c r="B117" s="15"/>
      <c r="C117" s="25" t="s">
        <v>263</v>
      </c>
      <c r="D117" s="25"/>
      <c r="E117" s="25"/>
      <c r="F117" s="25" t="s">
        <v>264</v>
      </c>
      <c r="G117" s="25"/>
      <c r="H117" s="25"/>
      <c r="I117" s="25" t="s">
        <v>265</v>
      </c>
      <c r="J117" s="25"/>
      <c r="K117" s="25"/>
      <c r="L117" s="25" t="s">
        <v>266</v>
      </c>
      <c r="M117" s="25"/>
      <c r="N117" s="25"/>
      <c r="O117" s="18"/>
      <c r="P117" s="27"/>
      <c r="Q117" s="29"/>
      <c r="R117" s="30"/>
      <c r="U117">
        <v>115</v>
      </c>
      <c r="V117" s="4">
        <v>1</v>
      </c>
      <c r="W117" s="46"/>
    </row>
    <row r="118" spans="2:23" ht="40" customHeight="1">
      <c r="B118" s="14">
        <v>58</v>
      </c>
      <c r="C118" s="16" t="s">
        <v>267</v>
      </c>
      <c r="D118" s="16"/>
      <c r="E118" s="16"/>
      <c r="F118" s="16"/>
      <c r="G118" s="16"/>
      <c r="H118" s="16"/>
      <c r="I118" s="16"/>
      <c r="J118" s="16"/>
      <c r="K118" s="16"/>
      <c r="L118" s="16"/>
      <c r="M118" s="16"/>
      <c r="N118" s="16"/>
      <c r="O118" s="17"/>
      <c r="P118" s="19" t="str">
        <f>Q118</f>
        <v>×</v>
      </c>
      <c r="Q118" s="28" t="str">
        <f>IF(O118=R118,$S$3,$T$3)</f>
        <v>×</v>
      </c>
      <c r="R118" s="23" t="s">
        <v>289</v>
      </c>
      <c r="U118">
        <v>116</v>
      </c>
      <c r="V118" s="4">
        <v>2</v>
      </c>
      <c r="W118" s="46">
        <f t="shared" ref="W118" si="56">IF(O118=R118,1,0)</f>
        <v>0</v>
      </c>
    </row>
    <row r="119" spans="2:23" ht="40" customHeight="1">
      <c r="B119" s="15"/>
      <c r="C119" s="25" t="s">
        <v>268</v>
      </c>
      <c r="D119" s="25"/>
      <c r="E119" s="25"/>
      <c r="F119" s="25" t="s">
        <v>269</v>
      </c>
      <c r="G119" s="25"/>
      <c r="H119" s="25"/>
      <c r="I119" s="25" t="s">
        <v>270</v>
      </c>
      <c r="J119" s="25"/>
      <c r="K119" s="25"/>
      <c r="L119" s="25" t="s">
        <v>271</v>
      </c>
      <c r="M119" s="25"/>
      <c r="N119" s="25"/>
      <c r="O119" s="18"/>
      <c r="P119" s="27"/>
      <c r="Q119" s="29"/>
      <c r="R119" s="30"/>
      <c r="U119">
        <v>117</v>
      </c>
      <c r="V119" s="4">
        <v>1</v>
      </c>
      <c r="W119" s="46"/>
    </row>
    <row r="120" spans="2:23" ht="40" customHeight="1">
      <c r="B120" s="14">
        <v>59</v>
      </c>
      <c r="C120" s="16" t="s">
        <v>272</v>
      </c>
      <c r="D120" s="16"/>
      <c r="E120" s="16"/>
      <c r="F120" s="16"/>
      <c r="G120" s="16"/>
      <c r="H120" s="16"/>
      <c r="I120" s="16"/>
      <c r="J120" s="16"/>
      <c r="K120" s="16"/>
      <c r="L120" s="16"/>
      <c r="M120" s="16"/>
      <c r="N120" s="16"/>
      <c r="O120" s="17"/>
      <c r="P120" s="19" t="str">
        <f>Q120</f>
        <v>×</v>
      </c>
      <c r="Q120" s="28" t="str">
        <f>IF(O120=R120,$S$3,$T$3)</f>
        <v>×</v>
      </c>
      <c r="R120" s="23" t="s">
        <v>290</v>
      </c>
      <c r="U120">
        <v>118</v>
      </c>
      <c r="V120" s="4">
        <v>2</v>
      </c>
      <c r="W120" s="46">
        <f t="shared" ref="W120" si="57">IF(O120=R120,1,0)</f>
        <v>0</v>
      </c>
    </row>
    <row r="121" spans="2:23" ht="40" customHeight="1">
      <c r="B121" s="15"/>
      <c r="C121" s="25" t="s">
        <v>273</v>
      </c>
      <c r="D121" s="25"/>
      <c r="E121" s="25"/>
      <c r="F121" s="25" t="s">
        <v>274</v>
      </c>
      <c r="G121" s="25"/>
      <c r="H121" s="25"/>
      <c r="I121" s="25" t="s">
        <v>275</v>
      </c>
      <c r="J121" s="25"/>
      <c r="K121" s="25"/>
      <c r="L121" s="25" t="s">
        <v>276</v>
      </c>
      <c r="M121" s="25"/>
      <c r="N121" s="25"/>
      <c r="O121" s="18"/>
      <c r="P121" s="27"/>
      <c r="Q121" s="29"/>
      <c r="R121" s="30"/>
      <c r="U121">
        <v>119</v>
      </c>
      <c r="V121" s="4">
        <v>1</v>
      </c>
      <c r="W121" s="46"/>
    </row>
    <row r="122" spans="2:23" ht="40" customHeight="1">
      <c r="B122" s="14">
        <v>60</v>
      </c>
      <c r="C122" s="16" t="s">
        <v>277</v>
      </c>
      <c r="D122" s="16"/>
      <c r="E122" s="16"/>
      <c r="F122" s="16"/>
      <c r="G122" s="16"/>
      <c r="H122" s="16"/>
      <c r="I122" s="16"/>
      <c r="J122" s="16"/>
      <c r="K122" s="16"/>
      <c r="L122" s="16"/>
      <c r="M122" s="16"/>
      <c r="N122" s="16"/>
      <c r="O122" s="17"/>
      <c r="P122" s="19" t="str">
        <f>Q122</f>
        <v>×</v>
      </c>
      <c r="Q122" s="28" t="str">
        <f>IF(O122=R122,$S$3,$T$3)</f>
        <v>×</v>
      </c>
      <c r="R122" s="23" t="s">
        <v>290</v>
      </c>
      <c r="U122">
        <v>120</v>
      </c>
      <c r="V122" s="4">
        <v>2</v>
      </c>
      <c r="W122" s="46">
        <f t="shared" ref="W122" si="58">IF(O122=R122,1,0)</f>
        <v>0</v>
      </c>
    </row>
    <row r="123" spans="2:23" ht="40" customHeight="1">
      <c r="B123" s="15"/>
      <c r="C123" s="25" t="s">
        <v>278</v>
      </c>
      <c r="D123" s="25"/>
      <c r="E123" s="25"/>
      <c r="F123" s="25" t="s">
        <v>279</v>
      </c>
      <c r="G123" s="25"/>
      <c r="H123" s="25"/>
      <c r="I123" s="25" t="s">
        <v>280</v>
      </c>
      <c r="J123" s="25"/>
      <c r="K123" s="25"/>
      <c r="L123" s="25" t="s">
        <v>281</v>
      </c>
      <c r="M123" s="25"/>
      <c r="N123" s="25"/>
      <c r="O123" s="18"/>
      <c r="P123" s="27"/>
      <c r="Q123" s="29"/>
      <c r="R123" s="30"/>
      <c r="U123">
        <v>121</v>
      </c>
      <c r="V123" s="9">
        <v>1</v>
      </c>
      <c r="W123" s="46"/>
    </row>
    <row r="124" spans="2:23" ht="40" customHeight="1">
      <c r="B124" s="14">
        <v>61</v>
      </c>
      <c r="C124" s="16" t="s">
        <v>321</v>
      </c>
      <c r="D124" s="16"/>
      <c r="E124" s="16"/>
      <c r="F124" s="16"/>
      <c r="G124" s="16"/>
      <c r="H124" s="16"/>
      <c r="I124" s="16"/>
      <c r="J124" s="16"/>
      <c r="K124" s="16"/>
      <c r="L124" s="16"/>
      <c r="M124" s="16"/>
      <c r="N124" s="16"/>
      <c r="O124" s="17"/>
      <c r="P124" s="19" t="str">
        <f t="shared" ref="P124" si="59">Q124</f>
        <v>×</v>
      </c>
      <c r="Q124" s="28" t="str">
        <f t="shared" ref="Q124" si="60">IF(O124=R124,$S$3,$T$3)</f>
        <v>×</v>
      </c>
      <c r="R124" s="23" t="s">
        <v>287</v>
      </c>
      <c r="U124">
        <v>122</v>
      </c>
      <c r="V124" s="9">
        <v>2</v>
      </c>
      <c r="W124" s="46">
        <f t="shared" ref="W124" si="61">IF(O124=R124,1,0)</f>
        <v>0</v>
      </c>
    </row>
    <row r="125" spans="2:23" ht="40" customHeight="1">
      <c r="B125" s="15"/>
      <c r="C125" s="25" t="s">
        <v>278</v>
      </c>
      <c r="D125" s="25"/>
      <c r="E125" s="25"/>
      <c r="F125" s="25" t="s">
        <v>279</v>
      </c>
      <c r="G125" s="25"/>
      <c r="H125" s="25"/>
      <c r="I125" s="25" t="s">
        <v>280</v>
      </c>
      <c r="J125" s="25"/>
      <c r="K125" s="25"/>
      <c r="L125" s="25" t="s">
        <v>281</v>
      </c>
      <c r="M125" s="25"/>
      <c r="N125" s="25"/>
      <c r="O125" s="18"/>
      <c r="P125" s="27"/>
      <c r="Q125" s="29"/>
      <c r="R125" s="30"/>
      <c r="U125">
        <v>123</v>
      </c>
      <c r="V125" s="9">
        <v>1</v>
      </c>
      <c r="W125" s="46"/>
    </row>
    <row r="126" spans="2:23" ht="40" customHeight="1">
      <c r="B126" s="14">
        <v>62</v>
      </c>
      <c r="C126" s="16" t="s">
        <v>322</v>
      </c>
      <c r="D126" s="16"/>
      <c r="E126" s="16"/>
      <c r="F126" s="16"/>
      <c r="G126" s="16"/>
      <c r="H126" s="16"/>
      <c r="I126" s="16"/>
      <c r="J126" s="16"/>
      <c r="K126" s="16"/>
      <c r="L126" s="16"/>
      <c r="M126" s="16"/>
      <c r="N126" s="16"/>
      <c r="O126" s="17"/>
      <c r="P126" s="19" t="str">
        <f t="shared" ref="P126" si="62">Q126</f>
        <v>×</v>
      </c>
      <c r="Q126" s="28" t="str">
        <f t="shared" ref="Q126" si="63">IF(O126=R126,$S$3,$T$3)</f>
        <v>×</v>
      </c>
      <c r="R126" s="23" t="s">
        <v>289</v>
      </c>
      <c r="U126">
        <v>124</v>
      </c>
      <c r="V126" s="9">
        <v>2</v>
      </c>
      <c r="W126" s="46">
        <f t="shared" ref="W126" si="64">IF(O126=R126,1,0)</f>
        <v>0</v>
      </c>
    </row>
    <row r="127" spans="2:23" ht="40" customHeight="1">
      <c r="B127" s="15"/>
      <c r="C127" s="25" t="s">
        <v>323</v>
      </c>
      <c r="D127" s="25"/>
      <c r="E127" s="25"/>
      <c r="F127" s="25" t="s">
        <v>324</v>
      </c>
      <c r="G127" s="25"/>
      <c r="H127" s="25"/>
      <c r="I127" s="25" t="s">
        <v>209</v>
      </c>
      <c r="J127" s="25"/>
      <c r="K127" s="25"/>
      <c r="L127" s="25" t="s">
        <v>325</v>
      </c>
      <c r="M127" s="25"/>
      <c r="N127" s="25"/>
      <c r="O127" s="18"/>
      <c r="P127" s="27"/>
      <c r="Q127" s="29"/>
      <c r="R127" s="30"/>
      <c r="U127">
        <v>125</v>
      </c>
      <c r="V127" s="9">
        <v>1</v>
      </c>
      <c r="W127" s="46"/>
    </row>
    <row r="128" spans="2:23" ht="40" customHeight="1">
      <c r="B128" s="14">
        <v>63</v>
      </c>
      <c r="C128" s="16" t="s">
        <v>326</v>
      </c>
      <c r="D128" s="16"/>
      <c r="E128" s="16"/>
      <c r="F128" s="16"/>
      <c r="G128" s="16"/>
      <c r="H128" s="16"/>
      <c r="I128" s="16"/>
      <c r="J128" s="16"/>
      <c r="K128" s="16"/>
      <c r="L128" s="16"/>
      <c r="M128" s="16"/>
      <c r="N128" s="16"/>
      <c r="O128" s="17"/>
      <c r="P128" s="19" t="str">
        <f t="shared" ref="P128" si="65">Q128</f>
        <v>×</v>
      </c>
      <c r="Q128" s="28" t="str">
        <f t="shared" ref="Q128" si="66">IF(O128=R128,$S$3,$T$3)</f>
        <v>×</v>
      </c>
      <c r="R128" s="23" t="s">
        <v>290</v>
      </c>
      <c r="U128">
        <v>126</v>
      </c>
      <c r="V128" s="9">
        <v>2</v>
      </c>
      <c r="W128" s="46">
        <f t="shared" ref="W128" si="67">IF(O128=R128,1,0)</f>
        <v>0</v>
      </c>
    </row>
    <row r="129" spans="2:23" ht="40" customHeight="1">
      <c r="B129" s="15"/>
      <c r="C129" s="25" t="s">
        <v>327</v>
      </c>
      <c r="D129" s="25"/>
      <c r="E129" s="25"/>
      <c r="F129" s="25" t="s">
        <v>328</v>
      </c>
      <c r="G129" s="25"/>
      <c r="H129" s="25"/>
      <c r="I129" s="25" t="s">
        <v>329</v>
      </c>
      <c r="J129" s="25"/>
      <c r="K129" s="25"/>
      <c r="L129" s="25" t="s">
        <v>330</v>
      </c>
      <c r="M129" s="25"/>
      <c r="N129" s="25"/>
      <c r="O129" s="18"/>
      <c r="P129" s="27"/>
      <c r="Q129" s="29"/>
      <c r="R129" s="30"/>
      <c r="U129">
        <v>127</v>
      </c>
      <c r="V129" s="9">
        <v>1</v>
      </c>
      <c r="W129" s="46"/>
    </row>
    <row r="130" spans="2:23" ht="40" customHeight="1">
      <c r="B130" s="14">
        <v>64</v>
      </c>
      <c r="C130" s="47" t="s">
        <v>297</v>
      </c>
      <c r="D130" s="48"/>
      <c r="E130" s="48"/>
      <c r="F130" s="48"/>
      <c r="G130" s="48"/>
      <c r="H130" s="48"/>
      <c r="I130" s="48"/>
      <c r="J130" s="48"/>
      <c r="K130" s="48"/>
      <c r="L130" s="48"/>
      <c r="M130" s="48"/>
      <c r="N130" s="49"/>
      <c r="O130" s="17"/>
      <c r="P130" s="19"/>
      <c r="Q130" s="28"/>
      <c r="R130" s="23"/>
      <c r="U130">
        <v>128</v>
      </c>
      <c r="V130" s="9">
        <v>2</v>
      </c>
      <c r="W130" s="46"/>
    </row>
    <row r="131" spans="2:23" ht="40" customHeight="1">
      <c r="B131" s="15"/>
      <c r="C131" s="50"/>
      <c r="D131" s="51"/>
      <c r="E131" s="51"/>
      <c r="F131" s="51"/>
      <c r="G131" s="51"/>
      <c r="H131" s="51"/>
      <c r="I131" s="51"/>
      <c r="J131" s="51"/>
      <c r="K131" s="51"/>
      <c r="L131" s="51"/>
      <c r="M131" s="51"/>
      <c r="N131" s="52"/>
      <c r="O131" s="18"/>
      <c r="P131" s="27"/>
      <c r="Q131" s="29"/>
      <c r="R131" s="30"/>
      <c r="U131">
        <v>129</v>
      </c>
      <c r="V131" s="9">
        <v>1</v>
      </c>
      <c r="W131" s="46"/>
    </row>
    <row r="132" spans="2:23" ht="40" customHeight="1">
      <c r="B132" s="14">
        <v>65</v>
      </c>
      <c r="C132" s="16" t="s">
        <v>331</v>
      </c>
      <c r="D132" s="16"/>
      <c r="E132" s="16"/>
      <c r="F132" s="16"/>
      <c r="G132" s="16"/>
      <c r="H132" s="16"/>
      <c r="I132" s="16"/>
      <c r="J132" s="16"/>
      <c r="K132" s="16"/>
      <c r="L132" s="16"/>
      <c r="M132" s="16"/>
      <c r="N132" s="16"/>
      <c r="O132" s="17"/>
      <c r="P132" s="19" t="str">
        <f t="shared" ref="P132" si="68">Q132</f>
        <v>×</v>
      </c>
      <c r="Q132" s="28" t="str">
        <f t="shared" ref="Q132" si="69">IF(O132=R132,$S$3,$T$3)</f>
        <v>×</v>
      </c>
      <c r="R132" s="23" t="s">
        <v>290</v>
      </c>
      <c r="U132">
        <v>130</v>
      </c>
      <c r="V132" s="9">
        <v>2</v>
      </c>
      <c r="W132" s="46">
        <f t="shared" ref="W132" si="70">IF(O132=R132,1,0)</f>
        <v>0</v>
      </c>
    </row>
    <row r="133" spans="2:23" ht="40" customHeight="1">
      <c r="B133" s="15"/>
      <c r="C133" s="25" t="s">
        <v>332</v>
      </c>
      <c r="D133" s="25"/>
      <c r="E133" s="25"/>
      <c r="F133" s="25" t="s">
        <v>333</v>
      </c>
      <c r="G133" s="25"/>
      <c r="H133" s="25"/>
      <c r="I133" s="25" t="s">
        <v>334</v>
      </c>
      <c r="J133" s="25"/>
      <c r="K133" s="25"/>
      <c r="L133" s="25" t="s">
        <v>335</v>
      </c>
      <c r="M133" s="25"/>
      <c r="N133" s="25"/>
      <c r="O133" s="18"/>
      <c r="P133" s="27"/>
      <c r="Q133" s="29"/>
      <c r="R133" s="30"/>
      <c r="U133">
        <v>131</v>
      </c>
      <c r="V133" s="9">
        <v>1</v>
      </c>
      <c r="W133" s="46"/>
    </row>
    <row r="134" spans="2:23" ht="40" customHeight="1">
      <c r="B134" s="14">
        <v>66</v>
      </c>
      <c r="C134" s="16" t="s">
        <v>336</v>
      </c>
      <c r="D134" s="16"/>
      <c r="E134" s="16"/>
      <c r="F134" s="16"/>
      <c r="G134" s="16"/>
      <c r="H134" s="16"/>
      <c r="I134" s="16"/>
      <c r="J134" s="16"/>
      <c r="K134" s="16"/>
      <c r="L134" s="16"/>
      <c r="M134" s="16"/>
      <c r="N134" s="16"/>
      <c r="O134" s="17"/>
      <c r="P134" s="19" t="str">
        <f t="shared" ref="P134" si="71">Q134</f>
        <v>×</v>
      </c>
      <c r="Q134" s="28" t="str">
        <f t="shared" ref="Q134" si="72">IF(O134=R134,$S$3,$T$3)</f>
        <v>×</v>
      </c>
      <c r="R134" s="23" t="s">
        <v>288</v>
      </c>
      <c r="U134">
        <v>132</v>
      </c>
      <c r="V134" s="9">
        <v>2</v>
      </c>
      <c r="W134" s="46">
        <f t="shared" ref="W134" si="73">IF(O134=R134,1,0)</f>
        <v>0</v>
      </c>
    </row>
    <row r="135" spans="2:23" ht="40" customHeight="1">
      <c r="B135" s="15"/>
      <c r="C135" s="25" t="s">
        <v>323</v>
      </c>
      <c r="D135" s="25"/>
      <c r="E135" s="25"/>
      <c r="F135" s="25" t="s">
        <v>324</v>
      </c>
      <c r="G135" s="25"/>
      <c r="H135" s="25"/>
      <c r="I135" s="25" t="s">
        <v>337</v>
      </c>
      <c r="J135" s="25"/>
      <c r="K135" s="25"/>
      <c r="L135" s="25" t="s">
        <v>325</v>
      </c>
      <c r="M135" s="25"/>
      <c r="N135" s="25"/>
      <c r="O135" s="18"/>
      <c r="P135" s="27"/>
      <c r="Q135" s="29"/>
      <c r="R135" s="30"/>
      <c r="U135">
        <v>133</v>
      </c>
      <c r="V135" s="9">
        <v>1</v>
      </c>
      <c r="W135" s="46"/>
    </row>
    <row r="136" spans="2:23" ht="40" customHeight="1">
      <c r="B136" s="14">
        <v>67</v>
      </c>
      <c r="C136" s="16" t="s">
        <v>338</v>
      </c>
      <c r="D136" s="16"/>
      <c r="E136" s="16"/>
      <c r="F136" s="16"/>
      <c r="G136" s="16"/>
      <c r="H136" s="16"/>
      <c r="I136" s="16"/>
      <c r="J136" s="16"/>
      <c r="K136" s="16"/>
      <c r="L136" s="16"/>
      <c r="M136" s="16"/>
      <c r="N136" s="16"/>
      <c r="O136" s="17"/>
      <c r="P136" s="19" t="str">
        <f t="shared" ref="P136" si="74">Q136</f>
        <v>×</v>
      </c>
      <c r="Q136" s="28" t="str">
        <f t="shared" ref="Q136" si="75">IF(O136=R136,$S$3,$T$3)</f>
        <v>×</v>
      </c>
      <c r="R136" s="23" t="s">
        <v>287</v>
      </c>
      <c r="U136">
        <v>134</v>
      </c>
      <c r="V136" s="9">
        <v>2</v>
      </c>
      <c r="W136" s="46">
        <f t="shared" ref="W136" si="76">IF(O136=R136,1,0)</f>
        <v>0</v>
      </c>
    </row>
    <row r="137" spans="2:23" ht="40" customHeight="1">
      <c r="B137" s="15"/>
      <c r="C137" s="25" t="s">
        <v>339</v>
      </c>
      <c r="D137" s="25"/>
      <c r="E137" s="25"/>
      <c r="F137" s="25" t="s">
        <v>340</v>
      </c>
      <c r="G137" s="25"/>
      <c r="H137" s="25"/>
      <c r="I137" s="25" t="s">
        <v>341</v>
      </c>
      <c r="J137" s="25"/>
      <c r="K137" s="25"/>
      <c r="L137" s="25" t="s">
        <v>342</v>
      </c>
      <c r="M137" s="25"/>
      <c r="N137" s="25"/>
      <c r="O137" s="18"/>
      <c r="P137" s="27"/>
      <c r="Q137" s="29"/>
      <c r="R137" s="30"/>
      <c r="U137">
        <v>135</v>
      </c>
      <c r="V137" s="9">
        <v>1</v>
      </c>
      <c r="W137" s="46"/>
    </row>
    <row r="138" spans="2:23" ht="40" customHeight="1">
      <c r="B138" s="14">
        <v>68</v>
      </c>
      <c r="C138" s="16" t="s">
        <v>343</v>
      </c>
      <c r="D138" s="16"/>
      <c r="E138" s="16"/>
      <c r="F138" s="16"/>
      <c r="G138" s="16"/>
      <c r="H138" s="16"/>
      <c r="I138" s="16"/>
      <c r="J138" s="16"/>
      <c r="K138" s="16"/>
      <c r="L138" s="16"/>
      <c r="M138" s="16"/>
      <c r="N138" s="16"/>
      <c r="O138" s="17"/>
      <c r="P138" s="19" t="str">
        <f t="shared" ref="P138" si="77">Q138</f>
        <v>×</v>
      </c>
      <c r="Q138" s="28" t="str">
        <f t="shared" ref="Q138" si="78">IF(O138=R138,$S$3,$T$3)</f>
        <v>×</v>
      </c>
      <c r="R138" s="23" t="s">
        <v>289</v>
      </c>
      <c r="U138">
        <v>136</v>
      </c>
      <c r="V138" s="9">
        <v>2</v>
      </c>
      <c r="W138" s="46">
        <f t="shared" ref="W138" si="79">IF(O138=R138,1,0)</f>
        <v>0</v>
      </c>
    </row>
    <row r="139" spans="2:23" ht="40" customHeight="1">
      <c r="B139" s="15"/>
      <c r="C139" s="25" t="s">
        <v>344</v>
      </c>
      <c r="D139" s="25"/>
      <c r="E139" s="25"/>
      <c r="F139" s="25" t="s">
        <v>345</v>
      </c>
      <c r="G139" s="25"/>
      <c r="H139" s="25"/>
      <c r="I139" s="25" t="s">
        <v>346</v>
      </c>
      <c r="J139" s="25"/>
      <c r="K139" s="25"/>
      <c r="L139" s="25" t="s">
        <v>348</v>
      </c>
      <c r="M139" s="25"/>
      <c r="N139" s="25"/>
      <c r="O139" s="18"/>
      <c r="P139" s="27"/>
      <c r="Q139" s="29"/>
      <c r="R139" s="30"/>
      <c r="U139">
        <v>137</v>
      </c>
      <c r="V139" s="9">
        <v>1</v>
      </c>
      <c r="W139" s="46"/>
    </row>
    <row r="140" spans="2:23" ht="40" customHeight="1">
      <c r="B140" s="14">
        <v>69</v>
      </c>
      <c r="C140" s="16" t="s">
        <v>347</v>
      </c>
      <c r="D140" s="16"/>
      <c r="E140" s="16"/>
      <c r="F140" s="16"/>
      <c r="G140" s="16"/>
      <c r="H140" s="16"/>
      <c r="I140" s="16"/>
      <c r="J140" s="16"/>
      <c r="K140" s="16"/>
      <c r="L140" s="16"/>
      <c r="M140" s="16"/>
      <c r="N140" s="16"/>
      <c r="O140" s="17"/>
      <c r="P140" s="19" t="str">
        <f t="shared" ref="P140" si="80">Q140</f>
        <v>×</v>
      </c>
      <c r="Q140" s="28" t="str">
        <f t="shared" ref="Q140" si="81">IF(O140=R140,$S$3,$T$3)</f>
        <v>×</v>
      </c>
      <c r="R140" s="23" t="s">
        <v>289</v>
      </c>
      <c r="U140">
        <v>138</v>
      </c>
      <c r="V140" s="9">
        <v>2</v>
      </c>
      <c r="W140" s="46">
        <f t="shared" ref="W140" si="82">IF(O140=R140,1,0)</f>
        <v>0</v>
      </c>
    </row>
    <row r="141" spans="2:23" ht="40" customHeight="1">
      <c r="B141" s="15"/>
      <c r="C141" s="25" t="s">
        <v>344</v>
      </c>
      <c r="D141" s="25"/>
      <c r="E141" s="25"/>
      <c r="F141" s="25" t="s">
        <v>349</v>
      </c>
      <c r="G141" s="25"/>
      <c r="H141" s="25"/>
      <c r="I141" s="25" t="s">
        <v>350</v>
      </c>
      <c r="J141" s="25"/>
      <c r="K141" s="25"/>
      <c r="L141" s="25" t="s">
        <v>351</v>
      </c>
      <c r="M141" s="25"/>
      <c r="N141" s="25"/>
      <c r="O141" s="18"/>
      <c r="P141" s="27"/>
      <c r="Q141" s="29"/>
      <c r="R141" s="30"/>
      <c r="U141">
        <v>139</v>
      </c>
      <c r="V141" s="9">
        <v>1</v>
      </c>
      <c r="W141" s="46"/>
    </row>
    <row r="142" spans="2:23" ht="40" customHeight="1">
      <c r="B142" s="14">
        <v>70</v>
      </c>
      <c r="C142" s="16" t="s">
        <v>352</v>
      </c>
      <c r="D142" s="16"/>
      <c r="E142" s="16"/>
      <c r="F142" s="16"/>
      <c r="G142" s="16"/>
      <c r="H142" s="16"/>
      <c r="I142" s="16"/>
      <c r="J142" s="16"/>
      <c r="K142" s="16"/>
      <c r="L142" s="16"/>
      <c r="M142" s="16"/>
      <c r="N142" s="16"/>
      <c r="O142" s="17"/>
      <c r="P142" s="19" t="str">
        <f t="shared" ref="P142" si="83">Q142</f>
        <v>×</v>
      </c>
      <c r="Q142" s="28" t="str">
        <f t="shared" ref="Q142" si="84">IF(O142=R142,$S$3,$T$3)</f>
        <v>×</v>
      </c>
      <c r="R142" s="23" t="s">
        <v>287</v>
      </c>
      <c r="U142">
        <v>140</v>
      </c>
      <c r="V142" s="9">
        <v>2</v>
      </c>
      <c r="W142" s="46">
        <f t="shared" ref="W142" si="85">IF(O142=R142,1,0)</f>
        <v>0</v>
      </c>
    </row>
    <row r="143" spans="2:23" ht="40" customHeight="1">
      <c r="B143" s="15"/>
      <c r="C143" s="25" t="s">
        <v>353</v>
      </c>
      <c r="D143" s="25"/>
      <c r="E143" s="25"/>
      <c r="F143" s="25" t="s">
        <v>354</v>
      </c>
      <c r="G143" s="25"/>
      <c r="H143" s="25"/>
      <c r="I143" s="25" t="s">
        <v>355</v>
      </c>
      <c r="J143" s="25"/>
      <c r="K143" s="25"/>
      <c r="L143" s="25" t="s">
        <v>356</v>
      </c>
      <c r="M143" s="25"/>
      <c r="N143" s="25"/>
      <c r="O143" s="18"/>
      <c r="P143" s="27"/>
      <c r="Q143" s="29"/>
      <c r="R143" s="30"/>
      <c r="U143">
        <v>141</v>
      </c>
      <c r="V143" s="9">
        <v>1</v>
      </c>
      <c r="W143" s="46"/>
    </row>
    <row r="144" spans="2:23" ht="40" customHeight="1">
      <c r="B144" s="14">
        <v>71</v>
      </c>
      <c r="C144" s="16" t="s">
        <v>357</v>
      </c>
      <c r="D144" s="16"/>
      <c r="E144" s="16"/>
      <c r="F144" s="16"/>
      <c r="G144" s="16"/>
      <c r="H144" s="16"/>
      <c r="I144" s="16"/>
      <c r="J144" s="16"/>
      <c r="K144" s="16"/>
      <c r="L144" s="16"/>
      <c r="M144" s="16"/>
      <c r="N144" s="16"/>
      <c r="O144" s="17"/>
      <c r="P144" s="19" t="str">
        <f t="shared" ref="P144" si="86">Q144</f>
        <v>×</v>
      </c>
      <c r="Q144" s="28" t="str">
        <f t="shared" ref="Q144" si="87">IF(O144=R144,$S$3,$T$3)</f>
        <v>×</v>
      </c>
      <c r="R144" s="23" t="s">
        <v>288</v>
      </c>
      <c r="U144">
        <v>142</v>
      </c>
      <c r="V144" s="9">
        <v>2</v>
      </c>
      <c r="W144" s="46">
        <f t="shared" ref="W144" si="88">IF(O144=R144,1,0)</f>
        <v>0</v>
      </c>
    </row>
    <row r="145" spans="2:23" ht="40" customHeight="1">
      <c r="B145" s="15"/>
      <c r="C145" s="25" t="s">
        <v>278</v>
      </c>
      <c r="D145" s="25"/>
      <c r="E145" s="25"/>
      <c r="F145" s="25" t="s">
        <v>279</v>
      </c>
      <c r="G145" s="25"/>
      <c r="H145" s="25"/>
      <c r="I145" s="25" t="s">
        <v>280</v>
      </c>
      <c r="J145" s="25"/>
      <c r="K145" s="25"/>
      <c r="L145" s="25" t="s">
        <v>281</v>
      </c>
      <c r="M145" s="25"/>
      <c r="N145" s="25"/>
      <c r="O145" s="18"/>
      <c r="P145" s="27"/>
      <c r="Q145" s="29"/>
      <c r="R145" s="30"/>
      <c r="U145">
        <v>143</v>
      </c>
      <c r="V145" s="9">
        <v>1</v>
      </c>
      <c r="W145" s="46"/>
    </row>
    <row r="146" spans="2:23" ht="40" customHeight="1">
      <c r="B146" s="14">
        <v>72</v>
      </c>
      <c r="C146" s="16" t="s">
        <v>358</v>
      </c>
      <c r="D146" s="16"/>
      <c r="E146" s="16"/>
      <c r="F146" s="16"/>
      <c r="G146" s="16"/>
      <c r="H146" s="16"/>
      <c r="I146" s="16"/>
      <c r="J146" s="16"/>
      <c r="K146" s="16"/>
      <c r="L146" s="16"/>
      <c r="M146" s="16"/>
      <c r="N146" s="16"/>
      <c r="O146" s="17"/>
      <c r="P146" s="19" t="str">
        <f t="shared" ref="P146" si="89">Q146</f>
        <v>×</v>
      </c>
      <c r="Q146" s="28" t="str">
        <f t="shared" ref="Q146" si="90">IF(O146=R146,$S$3,$T$3)</f>
        <v>×</v>
      </c>
      <c r="R146" s="23" t="s">
        <v>290</v>
      </c>
      <c r="U146">
        <v>144</v>
      </c>
      <c r="V146" s="9">
        <v>2</v>
      </c>
      <c r="W146" s="46">
        <f t="shared" ref="W146" si="91">IF(O146=R146,1,0)</f>
        <v>0</v>
      </c>
    </row>
    <row r="147" spans="2:23" ht="40" customHeight="1">
      <c r="B147" s="15"/>
      <c r="C147" s="25" t="s">
        <v>359</v>
      </c>
      <c r="D147" s="25"/>
      <c r="E147" s="25"/>
      <c r="F147" s="25" t="s">
        <v>360</v>
      </c>
      <c r="G147" s="25"/>
      <c r="H147" s="25"/>
      <c r="I147" s="25" t="s">
        <v>361</v>
      </c>
      <c r="J147" s="25"/>
      <c r="K147" s="25"/>
      <c r="L147" s="25" t="s">
        <v>362</v>
      </c>
      <c r="M147" s="25"/>
      <c r="N147" s="25"/>
      <c r="O147" s="18"/>
      <c r="P147" s="27"/>
      <c r="Q147" s="29"/>
      <c r="R147" s="30"/>
      <c r="U147">
        <v>145</v>
      </c>
      <c r="V147" s="9">
        <v>1</v>
      </c>
      <c r="W147" s="46"/>
    </row>
    <row r="148" spans="2:23" ht="40" customHeight="1">
      <c r="B148" s="14">
        <v>73</v>
      </c>
      <c r="C148" s="16" t="s">
        <v>363</v>
      </c>
      <c r="D148" s="16"/>
      <c r="E148" s="16"/>
      <c r="F148" s="16"/>
      <c r="G148" s="16"/>
      <c r="H148" s="16"/>
      <c r="I148" s="16"/>
      <c r="J148" s="16"/>
      <c r="K148" s="16"/>
      <c r="L148" s="16"/>
      <c r="M148" s="16"/>
      <c r="N148" s="16"/>
      <c r="O148" s="17"/>
      <c r="P148" s="19" t="str">
        <f t="shared" ref="P148" si="92">Q148</f>
        <v>×</v>
      </c>
      <c r="Q148" s="28" t="str">
        <f t="shared" ref="Q148" si="93">IF(O148=R148,$S$3,$T$3)</f>
        <v>×</v>
      </c>
      <c r="R148" s="23" t="s">
        <v>288</v>
      </c>
      <c r="U148">
        <v>146</v>
      </c>
      <c r="V148" s="9">
        <v>2</v>
      </c>
      <c r="W148" s="46">
        <f t="shared" ref="W148" si="94">IF(O148=R148,1,0)</f>
        <v>0</v>
      </c>
    </row>
    <row r="149" spans="2:23" ht="40" customHeight="1">
      <c r="B149" s="15"/>
      <c r="C149" s="25" t="s">
        <v>364</v>
      </c>
      <c r="D149" s="25"/>
      <c r="E149" s="25"/>
      <c r="F149" s="25" t="s">
        <v>365</v>
      </c>
      <c r="G149" s="25"/>
      <c r="H149" s="25"/>
      <c r="I149" s="25" t="s">
        <v>366</v>
      </c>
      <c r="J149" s="25"/>
      <c r="K149" s="25"/>
      <c r="L149" s="25" t="s">
        <v>367</v>
      </c>
      <c r="M149" s="25"/>
      <c r="N149" s="25"/>
      <c r="O149" s="18"/>
      <c r="P149" s="27"/>
      <c r="Q149" s="29"/>
      <c r="R149" s="30"/>
      <c r="U149">
        <v>147</v>
      </c>
      <c r="V149" s="9">
        <v>1</v>
      </c>
      <c r="W149" s="46"/>
    </row>
    <row r="150" spans="2:23" ht="40" customHeight="1">
      <c r="B150" s="14">
        <v>74</v>
      </c>
      <c r="C150" s="47" t="s">
        <v>298</v>
      </c>
      <c r="D150" s="48"/>
      <c r="E150" s="48"/>
      <c r="F150" s="48"/>
      <c r="G150" s="48"/>
      <c r="H150" s="48"/>
      <c r="I150" s="48"/>
      <c r="J150" s="48"/>
      <c r="K150" s="48"/>
      <c r="L150" s="48"/>
      <c r="M150" s="48"/>
      <c r="N150" s="49"/>
      <c r="O150" s="17"/>
      <c r="P150" s="19"/>
      <c r="Q150" s="28"/>
      <c r="R150" s="23"/>
      <c r="U150">
        <v>148</v>
      </c>
      <c r="V150" s="9">
        <v>2</v>
      </c>
      <c r="W150" s="46"/>
    </row>
    <row r="151" spans="2:23" ht="40" customHeight="1">
      <c r="B151" s="15"/>
      <c r="C151" s="50"/>
      <c r="D151" s="51"/>
      <c r="E151" s="51"/>
      <c r="F151" s="51"/>
      <c r="G151" s="51"/>
      <c r="H151" s="51"/>
      <c r="I151" s="51"/>
      <c r="J151" s="51"/>
      <c r="K151" s="51"/>
      <c r="L151" s="51"/>
      <c r="M151" s="51"/>
      <c r="N151" s="52"/>
      <c r="O151" s="18"/>
      <c r="P151" s="27"/>
      <c r="Q151" s="29"/>
      <c r="R151" s="30"/>
      <c r="U151">
        <v>149</v>
      </c>
      <c r="V151" s="9">
        <v>1</v>
      </c>
      <c r="W151" s="46"/>
    </row>
    <row r="152" spans="2:23" ht="40" customHeight="1">
      <c r="B152" s="14">
        <v>75</v>
      </c>
      <c r="C152" s="16" t="s">
        <v>368</v>
      </c>
      <c r="D152" s="16"/>
      <c r="E152" s="16"/>
      <c r="F152" s="16"/>
      <c r="G152" s="16"/>
      <c r="H152" s="16"/>
      <c r="I152" s="16"/>
      <c r="J152" s="16"/>
      <c r="K152" s="16"/>
      <c r="L152" s="16"/>
      <c r="M152" s="16"/>
      <c r="N152" s="16"/>
      <c r="O152" s="17"/>
      <c r="P152" s="19" t="str">
        <f t="shared" ref="P152" si="95">Q152</f>
        <v>×</v>
      </c>
      <c r="Q152" s="28" t="str">
        <f t="shared" ref="Q152" si="96">IF(O152=R152,$S$3,$T$3)</f>
        <v>×</v>
      </c>
      <c r="R152" s="23" t="s">
        <v>289</v>
      </c>
      <c r="U152">
        <v>150</v>
      </c>
      <c r="V152" s="9">
        <v>2</v>
      </c>
      <c r="W152" s="46">
        <f t="shared" ref="W152" si="97">IF(O152=R152,1,0)</f>
        <v>0</v>
      </c>
    </row>
    <row r="153" spans="2:23" ht="40" customHeight="1">
      <c r="B153" s="15"/>
      <c r="C153" s="25" t="s">
        <v>369</v>
      </c>
      <c r="D153" s="25"/>
      <c r="E153" s="25"/>
      <c r="F153" s="25" t="s">
        <v>370</v>
      </c>
      <c r="G153" s="25"/>
      <c r="H153" s="25"/>
      <c r="I153" s="25" t="s">
        <v>371</v>
      </c>
      <c r="J153" s="25"/>
      <c r="K153" s="25"/>
      <c r="L153" s="25" t="s">
        <v>372</v>
      </c>
      <c r="M153" s="25"/>
      <c r="N153" s="25"/>
      <c r="O153" s="18"/>
      <c r="P153" s="27"/>
      <c r="Q153" s="29"/>
      <c r="R153" s="30"/>
      <c r="U153">
        <v>151</v>
      </c>
      <c r="V153" s="9">
        <v>1</v>
      </c>
      <c r="W153" s="46"/>
    </row>
    <row r="154" spans="2:23" ht="40" customHeight="1">
      <c r="B154" s="14">
        <v>76</v>
      </c>
      <c r="C154" s="16" t="s">
        <v>373</v>
      </c>
      <c r="D154" s="16"/>
      <c r="E154" s="16"/>
      <c r="F154" s="16"/>
      <c r="G154" s="16"/>
      <c r="H154" s="16"/>
      <c r="I154" s="16"/>
      <c r="J154" s="16"/>
      <c r="K154" s="16"/>
      <c r="L154" s="16"/>
      <c r="M154" s="16"/>
      <c r="N154" s="16"/>
      <c r="O154" s="17"/>
      <c r="P154" s="19" t="str">
        <f t="shared" ref="P154" si="98">Q154</f>
        <v>×</v>
      </c>
      <c r="Q154" s="28" t="str">
        <f t="shared" ref="Q154" si="99">IF(O154=R154,$S$3,$T$3)</f>
        <v>×</v>
      </c>
      <c r="R154" s="23" t="s">
        <v>287</v>
      </c>
      <c r="U154">
        <v>152</v>
      </c>
      <c r="V154" s="9">
        <v>2</v>
      </c>
      <c r="W154" s="46">
        <f t="shared" ref="W154" si="100">IF(O154=R154,1,0)</f>
        <v>0</v>
      </c>
    </row>
    <row r="155" spans="2:23" ht="40" customHeight="1">
      <c r="B155" s="15"/>
      <c r="C155" s="25" t="s">
        <v>374</v>
      </c>
      <c r="D155" s="25"/>
      <c r="E155" s="25"/>
      <c r="F155" s="25" t="s">
        <v>375</v>
      </c>
      <c r="G155" s="25"/>
      <c r="H155" s="25"/>
      <c r="I155" s="25" t="s">
        <v>376</v>
      </c>
      <c r="J155" s="25"/>
      <c r="K155" s="25"/>
      <c r="L155" s="25" t="s">
        <v>377</v>
      </c>
      <c r="M155" s="25"/>
      <c r="N155" s="25"/>
      <c r="O155" s="18"/>
      <c r="P155" s="27"/>
      <c r="Q155" s="29"/>
      <c r="R155" s="30"/>
      <c r="U155">
        <v>153</v>
      </c>
      <c r="V155" s="9">
        <v>1</v>
      </c>
      <c r="W155" s="46"/>
    </row>
    <row r="156" spans="2:23" ht="40" customHeight="1">
      <c r="B156" s="14">
        <v>77</v>
      </c>
      <c r="C156" s="16" t="s">
        <v>378</v>
      </c>
      <c r="D156" s="16"/>
      <c r="E156" s="16"/>
      <c r="F156" s="16"/>
      <c r="G156" s="16"/>
      <c r="H156" s="16"/>
      <c r="I156" s="16"/>
      <c r="J156" s="16"/>
      <c r="K156" s="16"/>
      <c r="L156" s="16"/>
      <c r="M156" s="16"/>
      <c r="N156" s="16"/>
      <c r="O156" s="17"/>
      <c r="P156" s="19" t="str">
        <f t="shared" ref="P156" si="101">Q156</f>
        <v>×</v>
      </c>
      <c r="Q156" s="28" t="str">
        <f t="shared" ref="Q156" si="102">IF(O156=R156,$S$3,$T$3)</f>
        <v>×</v>
      </c>
      <c r="R156" s="23" t="s">
        <v>288</v>
      </c>
      <c r="U156">
        <v>154</v>
      </c>
      <c r="V156" s="9">
        <v>2</v>
      </c>
      <c r="W156" s="46">
        <f t="shared" ref="W156" si="103">IF(O156=R156,1,0)</f>
        <v>0</v>
      </c>
    </row>
    <row r="157" spans="2:23" ht="40" customHeight="1">
      <c r="B157" s="15"/>
      <c r="C157" s="25" t="s">
        <v>379</v>
      </c>
      <c r="D157" s="25"/>
      <c r="E157" s="25"/>
      <c r="F157" s="25" t="s">
        <v>380</v>
      </c>
      <c r="G157" s="25"/>
      <c r="H157" s="25"/>
      <c r="I157" s="25" t="s">
        <v>381</v>
      </c>
      <c r="J157" s="25"/>
      <c r="K157" s="25"/>
      <c r="L157" s="25" t="s">
        <v>382</v>
      </c>
      <c r="M157" s="25"/>
      <c r="N157" s="25"/>
      <c r="O157" s="18"/>
      <c r="P157" s="27"/>
      <c r="Q157" s="29"/>
      <c r="R157" s="30"/>
      <c r="U157">
        <v>155</v>
      </c>
      <c r="V157" s="9">
        <v>1</v>
      </c>
      <c r="W157" s="46"/>
    </row>
    <row r="158" spans="2:23" ht="40" customHeight="1">
      <c r="B158" s="14">
        <v>78</v>
      </c>
      <c r="C158" s="16" t="s">
        <v>383</v>
      </c>
      <c r="D158" s="16"/>
      <c r="E158" s="16"/>
      <c r="F158" s="16"/>
      <c r="G158" s="16"/>
      <c r="H158" s="16"/>
      <c r="I158" s="16"/>
      <c r="J158" s="16"/>
      <c r="K158" s="16"/>
      <c r="L158" s="16"/>
      <c r="M158" s="16"/>
      <c r="N158" s="16"/>
      <c r="O158" s="17"/>
      <c r="P158" s="19" t="str">
        <f t="shared" ref="P158" si="104">Q158</f>
        <v>×</v>
      </c>
      <c r="Q158" s="28" t="str">
        <f t="shared" ref="Q158" si="105">IF(O158=R158,$S$3,$T$3)</f>
        <v>×</v>
      </c>
      <c r="R158" s="23" t="s">
        <v>290</v>
      </c>
      <c r="U158">
        <v>156</v>
      </c>
      <c r="V158" s="9">
        <v>2</v>
      </c>
      <c r="W158" s="46">
        <f t="shared" ref="W158" si="106">IF(O158=R158,1,0)</f>
        <v>0</v>
      </c>
    </row>
    <row r="159" spans="2:23" ht="40" customHeight="1">
      <c r="B159" s="15"/>
      <c r="C159" s="25" t="s">
        <v>384</v>
      </c>
      <c r="D159" s="25"/>
      <c r="E159" s="25"/>
      <c r="F159" s="25" t="s">
        <v>385</v>
      </c>
      <c r="G159" s="25"/>
      <c r="H159" s="25"/>
      <c r="I159" s="25" t="s">
        <v>386</v>
      </c>
      <c r="J159" s="25"/>
      <c r="K159" s="25"/>
      <c r="L159" s="25" t="s">
        <v>387</v>
      </c>
      <c r="M159" s="25"/>
      <c r="N159" s="25"/>
      <c r="O159" s="18"/>
      <c r="P159" s="27"/>
      <c r="Q159" s="29"/>
      <c r="R159" s="30"/>
      <c r="U159">
        <v>157</v>
      </c>
      <c r="V159" s="9">
        <v>1</v>
      </c>
      <c r="W159" s="46"/>
    </row>
    <row r="160" spans="2:23" ht="40" customHeight="1">
      <c r="B160" s="14">
        <v>79</v>
      </c>
      <c r="C160" s="16" t="s">
        <v>388</v>
      </c>
      <c r="D160" s="16"/>
      <c r="E160" s="16"/>
      <c r="F160" s="16"/>
      <c r="G160" s="16"/>
      <c r="H160" s="16"/>
      <c r="I160" s="16"/>
      <c r="J160" s="16"/>
      <c r="K160" s="16"/>
      <c r="L160" s="16"/>
      <c r="M160" s="16"/>
      <c r="N160" s="16"/>
      <c r="O160" s="17"/>
      <c r="P160" s="19" t="str">
        <f t="shared" ref="P160" si="107">Q160</f>
        <v>×</v>
      </c>
      <c r="Q160" s="28" t="str">
        <f t="shared" ref="Q160" si="108">IF(O160=R160,$S$3,$T$3)</f>
        <v>×</v>
      </c>
      <c r="R160" s="23" t="s">
        <v>287</v>
      </c>
      <c r="U160">
        <v>158</v>
      </c>
      <c r="V160" s="9">
        <v>2</v>
      </c>
      <c r="W160" s="46">
        <f t="shared" ref="W160" si="109">IF(O160=R160,1,0)</f>
        <v>0</v>
      </c>
    </row>
    <row r="161" spans="2:23" ht="40" customHeight="1">
      <c r="B161" s="15"/>
      <c r="C161" s="25" t="s">
        <v>389</v>
      </c>
      <c r="D161" s="25"/>
      <c r="E161" s="25"/>
      <c r="F161" s="25" t="s">
        <v>390</v>
      </c>
      <c r="G161" s="25"/>
      <c r="H161" s="25"/>
      <c r="I161" s="25" t="s">
        <v>391</v>
      </c>
      <c r="J161" s="25"/>
      <c r="K161" s="25"/>
      <c r="L161" s="25" t="s">
        <v>392</v>
      </c>
      <c r="M161" s="25"/>
      <c r="N161" s="25"/>
      <c r="O161" s="18"/>
      <c r="P161" s="27"/>
      <c r="Q161" s="29"/>
      <c r="R161" s="30"/>
      <c r="U161">
        <v>159</v>
      </c>
      <c r="V161" s="9">
        <v>1</v>
      </c>
      <c r="W161" s="46"/>
    </row>
    <row r="162" spans="2:23" ht="40" customHeight="1">
      <c r="B162" s="14">
        <v>80</v>
      </c>
      <c r="C162" s="16" t="s">
        <v>393</v>
      </c>
      <c r="D162" s="16"/>
      <c r="E162" s="16"/>
      <c r="F162" s="16"/>
      <c r="G162" s="16"/>
      <c r="H162" s="16"/>
      <c r="I162" s="16"/>
      <c r="J162" s="16"/>
      <c r="K162" s="16"/>
      <c r="L162" s="16"/>
      <c r="M162" s="16"/>
      <c r="N162" s="16"/>
      <c r="O162" s="17"/>
      <c r="P162" s="19" t="str">
        <f t="shared" ref="P162" si="110">Q162</f>
        <v>×</v>
      </c>
      <c r="Q162" s="28" t="str">
        <f t="shared" ref="Q162" si="111">IF(O162=R162,$S$3,$T$3)</f>
        <v>×</v>
      </c>
      <c r="R162" s="23" t="s">
        <v>290</v>
      </c>
      <c r="U162">
        <v>160</v>
      </c>
      <c r="V162" s="9">
        <v>2</v>
      </c>
      <c r="W162" s="46">
        <f t="shared" ref="W162" si="112">IF(O162=R162,1,0)</f>
        <v>0</v>
      </c>
    </row>
    <row r="163" spans="2:23" ht="40" customHeight="1">
      <c r="B163" s="15"/>
      <c r="C163" s="25" t="s">
        <v>394</v>
      </c>
      <c r="D163" s="25"/>
      <c r="E163" s="25"/>
      <c r="F163" s="25" t="s">
        <v>395</v>
      </c>
      <c r="G163" s="25"/>
      <c r="H163" s="25"/>
      <c r="I163" s="25" t="s">
        <v>396</v>
      </c>
      <c r="J163" s="25"/>
      <c r="K163" s="25"/>
      <c r="L163" s="25" t="s">
        <v>397</v>
      </c>
      <c r="M163" s="25"/>
      <c r="N163" s="25"/>
      <c r="O163" s="18"/>
      <c r="P163" s="27"/>
      <c r="Q163" s="29"/>
      <c r="R163" s="30"/>
      <c r="U163">
        <v>161</v>
      </c>
      <c r="V163" s="9">
        <v>1</v>
      </c>
      <c r="W163" s="46"/>
    </row>
    <row r="164" spans="2:23" ht="40" customHeight="1">
      <c r="B164" s="14">
        <v>81</v>
      </c>
      <c r="C164" s="16" t="s">
        <v>398</v>
      </c>
      <c r="D164" s="16"/>
      <c r="E164" s="16"/>
      <c r="F164" s="16"/>
      <c r="G164" s="16"/>
      <c r="H164" s="16"/>
      <c r="I164" s="16"/>
      <c r="J164" s="16"/>
      <c r="K164" s="16"/>
      <c r="L164" s="16"/>
      <c r="M164" s="16"/>
      <c r="N164" s="16"/>
      <c r="O164" s="17"/>
      <c r="P164" s="19" t="str">
        <f t="shared" ref="P164" si="113">Q164</f>
        <v>×</v>
      </c>
      <c r="Q164" s="28" t="str">
        <f t="shared" ref="Q164" si="114">IF(O164=R164,$S$3,$T$3)</f>
        <v>×</v>
      </c>
      <c r="R164" s="23" t="s">
        <v>287</v>
      </c>
      <c r="U164">
        <v>162</v>
      </c>
      <c r="V164" s="9">
        <v>2</v>
      </c>
      <c r="W164" s="46">
        <f t="shared" ref="W164" si="115">IF(O164=R164,1,0)</f>
        <v>0</v>
      </c>
    </row>
    <row r="165" spans="2:23" ht="40" customHeight="1">
      <c r="B165" s="15"/>
      <c r="C165" s="25" t="s">
        <v>399</v>
      </c>
      <c r="D165" s="25"/>
      <c r="E165" s="25"/>
      <c r="F165" s="25" t="s">
        <v>400</v>
      </c>
      <c r="G165" s="25"/>
      <c r="H165" s="25"/>
      <c r="I165" s="25" t="s">
        <v>401</v>
      </c>
      <c r="J165" s="25"/>
      <c r="K165" s="25"/>
      <c r="L165" s="25" t="s">
        <v>402</v>
      </c>
      <c r="M165" s="25"/>
      <c r="N165" s="25"/>
      <c r="O165" s="18"/>
      <c r="P165" s="27"/>
      <c r="Q165" s="29"/>
      <c r="R165" s="30"/>
      <c r="U165">
        <v>163</v>
      </c>
      <c r="V165" s="9">
        <v>1</v>
      </c>
      <c r="W165" s="46"/>
    </row>
    <row r="166" spans="2:23" ht="40" customHeight="1">
      <c r="B166" s="14">
        <v>82</v>
      </c>
      <c r="C166" s="16" t="s">
        <v>403</v>
      </c>
      <c r="D166" s="16"/>
      <c r="E166" s="16"/>
      <c r="F166" s="16"/>
      <c r="G166" s="16"/>
      <c r="H166" s="16"/>
      <c r="I166" s="16"/>
      <c r="J166" s="16"/>
      <c r="K166" s="16"/>
      <c r="L166" s="16"/>
      <c r="M166" s="16"/>
      <c r="N166" s="16"/>
      <c r="O166" s="17"/>
      <c r="P166" s="19" t="str">
        <f t="shared" ref="P166" si="116">Q166</f>
        <v>×</v>
      </c>
      <c r="Q166" s="28" t="str">
        <f t="shared" ref="Q166" si="117">IF(O166=R166,$S$3,$T$3)</f>
        <v>×</v>
      </c>
      <c r="R166" s="23" t="s">
        <v>289</v>
      </c>
      <c r="U166">
        <v>164</v>
      </c>
      <c r="V166" s="9">
        <v>2</v>
      </c>
      <c r="W166" s="46">
        <f t="shared" ref="W166" si="118">IF(O166=R166,1,0)</f>
        <v>0</v>
      </c>
    </row>
    <row r="167" spans="2:23" ht="40" customHeight="1">
      <c r="B167" s="15"/>
      <c r="C167" s="25" t="s">
        <v>404</v>
      </c>
      <c r="D167" s="25"/>
      <c r="E167" s="25"/>
      <c r="F167" s="25" t="s">
        <v>405</v>
      </c>
      <c r="G167" s="25"/>
      <c r="H167" s="25"/>
      <c r="I167" s="25" t="s">
        <v>406</v>
      </c>
      <c r="J167" s="25"/>
      <c r="K167" s="25"/>
      <c r="L167" s="25" t="s">
        <v>407</v>
      </c>
      <c r="M167" s="25"/>
      <c r="N167" s="25"/>
      <c r="O167" s="18"/>
      <c r="P167" s="27"/>
      <c r="Q167" s="29"/>
      <c r="R167" s="30"/>
      <c r="U167">
        <v>165</v>
      </c>
      <c r="V167" s="9">
        <v>1</v>
      </c>
      <c r="W167" s="46"/>
    </row>
    <row r="168" spans="2:23" ht="40" customHeight="1">
      <c r="B168" s="14">
        <v>83</v>
      </c>
      <c r="C168" s="16" t="s">
        <v>408</v>
      </c>
      <c r="D168" s="16"/>
      <c r="E168" s="16"/>
      <c r="F168" s="16"/>
      <c r="G168" s="16"/>
      <c r="H168" s="16"/>
      <c r="I168" s="16"/>
      <c r="J168" s="16"/>
      <c r="K168" s="16"/>
      <c r="L168" s="16"/>
      <c r="M168" s="16"/>
      <c r="N168" s="16"/>
      <c r="O168" s="17"/>
      <c r="P168" s="19" t="str">
        <f t="shared" ref="P168" si="119">Q168</f>
        <v>×</v>
      </c>
      <c r="Q168" s="28" t="str">
        <f t="shared" ref="Q168" si="120">IF(O168=R168,$S$3,$T$3)</f>
        <v>×</v>
      </c>
      <c r="R168" s="23" t="s">
        <v>290</v>
      </c>
      <c r="U168">
        <v>166</v>
      </c>
      <c r="V168" s="9">
        <v>2</v>
      </c>
      <c r="W168" s="46">
        <f t="shared" ref="W168" si="121">IF(O168=R168,1,0)</f>
        <v>0</v>
      </c>
    </row>
    <row r="169" spans="2:23" ht="40" customHeight="1">
      <c r="B169" s="15"/>
      <c r="C169" s="25" t="s">
        <v>409</v>
      </c>
      <c r="D169" s="25"/>
      <c r="E169" s="25"/>
      <c r="F169" s="25" t="s">
        <v>410</v>
      </c>
      <c r="G169" s="25"/>
      <c r="H169" s="25"/>
      <c r="I169" s="25" t="s">
        <v>411</v>
      </c>
      <c r="J169" s="25"/>
      <c r="K169" s="25"/>
      <c r="L169" s="25" t="s">
        <v>412</v>
      </c>
      <c r="M169" s="25"/>
      <c r="N169" s="25"/>
      <c r="O169" s="18"/>
      <c r="P169" s="27"/>
      <c r="Q169" s="29"/>
      <c r="R169" s="30"/>
      <c r="U169">
        <v>167</v>
      </c>
      <c r="V169" s="9">
        <v>1</v>
      </c>
      <c r="W169" s="46"/>
    </row>
    <row r="170" spans="2:23" ht="40" customHeight="1">
      <c r="B170" s="14">
        <v>84</v>
      </c>
      <c r="C170" s="16" t="s">
        <v>413</v>
      </c>
      <c r="D170" s="16"/>
      <c r="E170" s="16"/>
      <c r="F170" s="16"/>
      <c r="G170" s="16"/>
      <c r="H170" s="16"/>
      <c r="I170" s="16"/>
      <c r="J170" s="16"/>
      <c r="K170" s="16"/>
      <c r="L170" s="16"/>
      <c r="M170" s="16"/>
      <c r="N170" s="16"/>
      <c r="O170" s="17"/>
      <c r="P170" s="19" t="str">
        <f t="shared" ref="P170" si="122">Q170</f>
        <v>×</v>
      </c>
      <c r="Q170" s="28" t="str">
        <f t="shared" ref="Q170" si="123">IF(O170=R170,$S$3,$T$3)</f>
        <v>×</v>
      </c>
      <c r="R170" s="23" t="s">
        <v>290</v>
      </c>
      <c r="U170">
        <v>168</v>
      </c>
      <c r="V170" s="9">
        <v>2</v>
      </c>
      <c r="W170" s="46">
        <f t="shared" ref="W170" si="124">IF(O170=R170,1,0)</f>
        <v>0</v>
      </c>
    </row>
    <row r="171" spans="2:23" ht="40" customHeight="1">
      <c r="B171" s="15"/>
      <c r="C171" s="25" t="s">
        <v>399</v>
      </c>
      <c r="D171" s="25"/>
      <c r="E171" s="25"/>
      <c r="F171" s="25" t="s">
        <v>414</v>
      </c>
      <c r="G171" s="25"/>
      <c r="H171" s="25"/>
      <c r="I171" s="25" t="s">
        <v>415</v>
      </c>
      <c r="J171" s="25"/>
      <c r="K171" s="25"/>
      <c r="L171" s="25" t="s">
        <v>402</v>
      </c>
      <c r="M171" s="25"/>
      <c r="N171" s="25"/>
      <c r="O171" s="18"/>
      <c r="P171" s="27"/>
      <c r="Q171" s="29"/>
      <c r="R171" s="30"/>
      <c r="U171">
        <v>169</v>
      </c>
      <c r="V171" s="9">
        <v>1</v>
      </c>
      <c r="W171" s="46"/>
    </row>
    <row r="172" spans="2:23" ht="40" customHeight="1">
      <c r="B172" s="14">
        <v>85</v>
      </c>
      <c r="C172" s="16" t="s">
        <v>416</v>
      </c>
      <c r="D172" s="16"/>
      <c r="E172" s="16"/>
      <c r="F172" s="16"/>
      <c r="G172" s="16"/>
      <c r="H172" s="16"/>
      <c r="I172" s="16"/>
      <c r="J172" s="16"/>
      <c r="K172" s="16"/>
      <c r="L172" s="16"/>
      <c r="M172" s="16"/>
      <c r="N172" s="16"/>
      <c r="O172" s="17"/>
      <c r="P172" s="19" t="str">
        <f t="shared" ref="P172" si="125">Q172</f>
        <v>×</v>
      </c>
      <c r="Q172" s="28" t="str">
        <f t="shared" ref="Q172" si="126">IF(O172=R172,$S$3,$T$3)</f>
        <v>×</v>
      </c>
      <c r="R172" s="23" t="s">
        <v>288</v>
      </c>
      <c r="U172">
        <v>170</v>
      </c>
      <c r="V172" s="9">
        <v>2</v>
      </c>
      <c r="W172" s="46">
        <f t="shared" ref="W172" si="127">IF(O172=R172,1,0)</f>
        <v>0</v>
      </c>
    </row>
    <row r="173" spans="2:23" ht="40" customHeight="1">
      <c r="B173" s="15"/>
      <c r="C173" s="25" t="s">
        <v>417</v>
      </c>
      <c r="D173" s="25"/>
      <c r="E173" s="25"/>
      <c r="F173" s="25" t="s">
        <v>418</v>
      </c>
      <c r="G173" s="25"/>
      <c r="H173" s="25"/>
      <c r="I173" s="25" t="s">
        <v>419</v>
      </c>
      <c r="J173" s="25"/>
      <c r="K173" s="25"/>
      <c r="L173" s="25" t="s">
        <v>420</v>
      </c>
      <c r="M173" s="25"/>
      <c r="N173" s="25"/>
      <c r="O173" s="18"/>
      <c r="P173" s="27"/>
      <c r="Q173" s="29"/>
      <c r="R173" s="30"/>
      <c r="U173">
        <v>171</v>
      </c>
      <c r="V173" s="9">
        <v>1</v>
      </c>
      <c r="W173" s="46"/>
    </row>
    <row r="174" spans="2:23" ht="40" customHeight="1">
      <c r="B174" s="14">
        <v>86</v>
      </c>
      <c r="C174" s="16" t="s">
        <v>421</v>
      </c>
      <c r="D174" s="16"/>
      <c r="E174" s="16"/>
      <c r="F174" s="16"/>
      <c r="G174" s="16"/>
      <c r="H174" s="16"/>
      <c r="I174" s="16"/>
      <c r="J174" s="16"/>
      <c r="K174" s="16"/>
      <c r="L174" s="16"/>
      <c r="M174" s="16"/>
      <c r="N174" s="16"/>
      <c r="O174" s="17"/>
      <c r="P174" s="19" t="str">
        <f t="shared" ref="P174" si="128">Q174</f>
        <v>×</v>
      </c>
      <c r="Q174" s="28" t="str">
        <f t="shared" ref="Q174" si="129">IF(O174=R174,$S$3,$T$3)</f>
        <v>×</v>
      </c>
      <c r="R174" s="23" t="s">
        <v>289</v>
      </c>
      <c r="U174">
        <v>172</v>
      </c>
      <c r="V174" s="9">
        <v>2</v>
      </c>
      <c r="W174" s="46">
        <f t="shared" ref="W174" si="130">IF(O174=R174,1,0)</f>
        <v>0</v>
      </c>
    </row>
    <row r="175" spans="2:23" ht="40" customHeight="1">
      <c r="B175" s="15"/>
      <c r="C175" s="25" t="s">
        <v>422</v>
      </c>
      <c r="D175" s="25"/>
      <c r="E175" s="25"/>
      <c r="F175" s="25" t="s">
        <v>423</v>
      </c>
      <c r="G175" s="25"/>
      <c r="H175" s="25"/>
      <c r="I175" s="25" t="s">
        <v>424</v>
      </c>
      <c r="J175" s="25"/>
      <c r="K175" s="25"/>
      <c r="L175" s="25" t="s">
        <v>425</v>
      </c>
      <c r="M175" s="25"/>
      <c r="N175" s="25"/>
      <c r="O175" s="18"/>
      <c r="P175" s="27"/>
      <c r="Q175" s="29"/>
      <c r="R175" s="30"/>
      <c r="U175">
        <v>173</v>
      </c>
      <c r="V175" s="9">
        <v>1</v>
      </c>
      <c r="W175" s="46"/>
    </row>
    <row r="176" spans="2:23" ht="40" customHeight="1">
      <c r="B176" s="14">
        <v>87</v>
      </c>
      <c r="C176" s="16" t="s">
        <v>426</v>
      </c>
      <c r="D176" s="16"/>
      <c r="E176" s="16"/>
      <c r="F176" s="16"/>
      <c r="G176" s="16"/>
      <c r="H176" s="16"/>
      <c r="I176" s="16"/>
      <c r="J176" s="16"/>
      <c r="K176" s="16"/>
      <c r="L176" s="16"/>
      <c r="M176" s="16"/>
      <c r="N176" s="16"/>
      <c r="O176" s="17"/>
      <c r="P176" s="19" t="str">
        <f t="shared" ref="P176" si="131">Q176</f>
        <v>×</v>
      </c>
      <c r="Q176" s="28" t="str">
        <f t="shared" ref="Q176" si="132">IF(O176=R176,$S$3,$T$3)</f>
        <v>×</v>
      </c>
      <c r="R176" s="23" t="s">
        <v>287</v>
      </c>
      <c r="U176">
        <v>174</v>
      </c>
      <c r="V176" s="9">
        <v>2</v>
      </c>
      <c r="W176" s="46">
        <f t="shared" ref="W176" si="133">IF(O176=R176,1,0)</f>
        <v>0</v>
      </c>
    </row>
    <row r="177" spans="2:23" ht="40" customHeight="1">
      <c r="B177" s="15"/>
      <c r="C177" s="25" t="s">
        <v>427</v>
      </c>
      <c r="D177" s="25"/>
      <c r="E177" s="25"/>
      <c r="F177" s="25" t="s">
        <v>428</v>
      </c>
      <c r="G177" s="25"/>
      <c r="H177" s="25"/>
      <c r="I177" s="25" t="s">
        <v>429</v>
      </c>
      <c r="J177" s="25"/>
      <c r="K177" s="25"/>
      <c r="L177" s="25" t="s">
        <v>430</v>
      </c>
      <c r="M177" s="25"/>
      <c r="N177" s="25"/>
      <c r="O177" s="18"/>
      <c r="P177" s="27"/>
      <c r="Q177" s="29"/>
      <c r="R177" s="30"/>
      <c r="U177">
        <v>175</v>
      </c>
      <c r="V177" s="9">
        <v>1</v>
      </c>
      <c r="W177" s="46"/>
    </row>
    <row r="178" spans="2:23" ht="40" customHeight="1">
      <c r="B178" s="14">
        <v>88</v>
      </c>
      <c r="C178" s="16" t="s">
        <v>431</v>
      </c>
      <c r="D178" s="16"/>
      <c r="E178" s="16"/>
      <c r="F178" s="16"/>
      <c r="G178" s="16"/>
      <c r="H178" s="16"/>
      <c r="I178" s="16"/>
      <c r="J178" s="16"/>
      <c r="K178" s="16"/>
      <c r="L178" s="16"/>
      <c r="M178" s="16"/>
      <c r="N178" s="16"/>
      <c r="O178" s="17"/>
      <c r="P178" s="19" t="str">
        <f t="shared" ref="P178" si="134">Q178</f>
        <v>×</v>
      </c>
      <c r="Q178" s="28" t="str">
        <f t="shared" ref="Q178" si="135">IF(O178=R178,$S$3,$T$3)</f>
        <v>×</v>
      </c>
      <c r="R178" s="23" t="s">
        <v>289</v>
      </c>
      <c r="U178">
        <v>176</v>
      </c>
      <c r="V178" s="9">
        <v>2</v>
      </c>
      <c r="W178" s="46">
        <f t="shared" ref="W178" si="136">IF(O178=R178,1,0)</f>
        <v>0</v>
      </c>
    </row>
    <row r="179" spans="2:23" ht="40" customHeight="1">
      <c r="B179" s="15"/>
      <c r="C179" s="25" t="s">
        <v>432</v>
      </c>
      <c r="D179" s="25"/>
      <c r="E179" s="25"/>
      <c r="F179" s="25" t="s">
        <v>433</v>
      </c>
      <c r="G179" s="25"/>
      <c r="H179" s="25"/>
      <c r="I179" s="25" t="s">
        <v>434</v>
      </c>
      <c r="J179" s="25"/>
      <c r="K179" s="25"/>
      <c r="L179" s="25" t="s">
        <v>435</v>
      </c>
      <c r="M179" s="25"/>
      <c r="N179" s="25"/>
      <c r="O179" s="18"/>
      <c r="P179" s="27"/>
      <c r="Q179" s="29"/>
      <c r="R179" s="30"/>
      <c r="U179">
        <v>177</v>
      </c>
      <c r="V179" s="9">
        <v>1</v>
      </c>
      <c r="W179" s="46"/>
    </row>
    <row r="180" spans="2:23" ht="40" customHeight="1">
      <c r="B180" s="14">
        <v>89</v>
      </c>
      <c r="C180" s="16" t="s">
        <v>436</v>
      </c>
      <c r="D180" s="16"/>
      <c r="E180" s="16"/>
      <c r="F180" s="16"/>
      <c r="G180" s="16"/>
      <c r="H180" s="16"/>
      <c r="I180" s="16"/>
      <c r="J180" s="16"/>
      <c r="K180" s="16"/>
      <c r="L180" s="16"/>
      <c r="M180" s="16"/>
      <c r="N180" s="16"/>
      <c r="O180" s="17"/>
      <c r="P180" s="19" t="str">
        <f t="shared" ref="P180" si="137">Q180</f>
        <v>×</v>
      </c>
      <c r="Q180" s="28" t="str">
        <f t="shared" ref="Q180" si="138">IF(O180=R180,$S$3,$T$3)</f>
        <v>×</v>
      </c>
      <c r="R180" s="23" t="s">
        <v>289</v>
      </c>
      <c r="U180">
        <v>178</v>
      </c>
      <c r="V180" s="9">
        <v>2</v>
      </c>
      <c r="W180" s="46">
        <f t="shared" ref="W180" si="139">IF(O180=R180,1,0)</f>
        <v>0</v>
      </c>
    </row>
    <row r="181" spans="2:23" ht="40" customHeight="1">
      <c r="B181" s="15"/>
      <c r="C181" s="25" t="s">
        <v>437</v>
      </c>
      <c r="D181" s="25"/>
      <c r="E181" s="25"/>
      <c r="F181" s="25" t="s">
        <v>438</v>
      </c>
      <c r="G181" s="25"/>
      <c r="H181" s="25"/>
      <c r="I181" s="25" t="s">
        <v>439</v>
      </c>
      <c r="J181" s="25"/>
      <c r="K181" s="25"/>
      <c r="L181" s="25" t="s">
        <v>440</v>
      </c>
      <c r="M181" s="25"/>
      <c r="N181" s="25"/>
      <c r="O181" s="18"/>
      <c r="P181" s="27"/>
      <c r="Q181" s="29"/>
      <c r="R181" s="30"/>
      <c r="U181">
        <v>179</v>
      </c>
      <c r="V181" s="9">
        <v>1</v>
      </c>
      <c r="W181" s="46"/>
    </row>
    <row r="182" spans="2:23" ht="40" customHeight="1">
      <c r="B182" s="14">
        <v>90</v>
      </c>
      <c r="C182" s="16" t="s">
        <v>441</v>
      </c>
      <c r="D182" s="16"/>
      <c r="E182" s="16"/>
      <c r="F182" s="16"/>
      <c r="G182" s="16"/>
      <c r="H182" s="16"/>
      <c r="I182" s="16"/>
      <c r="J182" s="16"/>
      <c r="K182" s="16"/>
      <c r="L182" s="16"/>
      <c r="M182" s="16"/>
      <c r="N182" s="16"/>
      <c r="O182" s="17"/>
      <c r="P182" s="19" t="str">
        <f t="shared" ref="P182" si="140">Q182</f>
        <v>×</v>
      </c>
      <c r="Q182" s="28" t="str">
        <f t="shared" ref="Q182" si="141">IF(O182=R182,$S$3,$T$3)</f>
        <v>×</v>
      </c>
      <c r="R182" s="23" t="s">
        <v>288</v>
      </c>
      <c r="U182">
        <v>180</v>
      </c>
      <c r="V182" s="9">
        <v>2</v>
      </c>
      <c r="W182" s="46">
        <f t="shared" ref="W182" si="142">IF(O182=R182,1,0)</f>
        <v>0</v>
      </c>
    </row>
    <row r="183" spans="2:23" ht="40" customHeight="1">
      <c r="B183" s="15"/>
      <c r="C183" s="25" t="s">
        <v>442</v>
      </c>
      <c r="D183" s="25"/>
      <c r="E183" s="25"/>
      <c r="F183" s="25" t="s">
        <v>443</v>
      </c>
      <c r="G183" s="25"/>
      <c r="H183" s="25"/>
      <c r="I183" s="25" t="s">
        <v>444</v>
      </c>
      <c r="J183" s="25"/>
      <c r="K183" s="25"/>
      <c r="L183" s="25" t="s">
        <v>445</v>
      </c>
      <c r="M183" s="25"/>
      <c r="N183" s="25"/>
      <c r="O183" s="18"/>
      <c r="P183" s="27"/>
      <c r="Q183" s="29"/>
      <c r="R183" s="30"/>
      <c r="U183">
        <v>181</v>
      </c>
      <c r="V183" s="9">
        <v>1</v>
      </c>
      <c r="W183" s="46"/>
    </row>
    <row r="184" spans="2:23" ht="40" customHeight="1">
      <c r="B184" s="14">
        <v>91</v>
      </c>
      <c r="C184" s="16" t="s">
        <v>446</v>
      </c>
      <c r="D184" s="16"/>
      <c r="E184" s="16"/>
      <c r="F184" s="16"/>
      <c r="G184" s="16"/>
      <c r="H184" s="16"/>
      <c r="I184" s="16"/>
      <c r="J184" s="16"/>
      <c r="K184" s="16"/>
      <c r="L184" s="16"/>
      <c r="M184" s="16"/>
      <c r="N184" s="16"/>
      <c r="O184" s="17"/>
      <c r="P184" s="19" t="str">
        <f t="shared" ref="P184" si="143">Q184</f>
        <v>×</v>
      </c>
      <c r="Q184" s="28" t="str">
        <f t="shared" ref="Q184" si="144">IF(O184=R184,$S$3,$T$3)</f>
        <v>×</v>
      </c>
      <c r="R184" s="23" t="s">
        <v>287</v>
      </c>
      <c r="U184">
        <v>182</v>
      </c>
      <c r="V184" s="9">
        <v>2</v>
      </c>
      <c r="W184" s="46">
        <f t="shared" ref="W184" si="145">IF(O184=R184,1,0)</f>
        <v>0</v>
      </c>
    </row>
    <row r="185" spans="2:23" ht="40" customHeight="1">
      <c r="B185" s="15"/>
      <c r="C185" s="25" t="s">
        <v>447</v>
      </c>
      <c r="D185" s="25"/>
      <c r="E185" s="25"/>
      <c r="F185" s="25" t="s">
        <v>448</v>
      </c>
      <c r="G185" s="25"/>
      <c r="H185" s="25"/>
      <c r="I185" s="25" t="s">
        <v>419</v>
      </c>
      <c r="J185" s="25"/>
      <c r="K185" s="25"/>
      <c r="L185" s="25" t="s">
        <v>449</v>
      </c>
      <c r="M185" s="25"/>
      <c r="N185" s="25"/>
      <c r="O185" s="18"/>
      <c r="P185" s="27"/>
      <c r="Q185" s="29"/>
      <c r="R185" s="30"/>
      <c r="U185">
        <v>183</v>
      </c>
      <c r="V185" s="9">
        <v>1</v>
      </c>
      <c r="W185" s="46"/>
    </row>
    <row r="186" spans="2:23" ht="40" customHeight="1">
      <c r="B186" s="14">
        <v>92</v>
      </c>
      <c r="C186" s="16" t="s">
        <v>450</v>
      </c>
      <c r="D186" s="16"/>
      <c r="E186" s="16"/>
      <c r="F186" s="16"/>
      <c r="G186" s="16"/>
      <c r="H186" s="16"/>
      <c r="I186" s="16"/>
      <c r="J186" s="16"/>
      <c r="K186" s="16"/>
      <c r="L186" s="16"/>
      <c r="M186" s="16"/>
      <c r="N186" s="16"/>
      <c r="O186" s="17"/>
      <c r="P186" s="19" t="str">
        <f t="shared" ref="P186" si="146">Q186</f>
        <v>×</v>
      </c>
      <c r="Q186" s="28" t="str">
        <f t="shared" ref="Q186" si="147">IF(O186=R186,$S$3,$T$3)</f>
        <v>×</v>
      </c>
      <c r="R186" s="23" t="s">
        <v>290</v>
      </c>
      <c r="U186">
        <v>184</v>
      </c>
      <c r="V186" s="9">
        <v>2</v>
      </c>
      <c r="W186" s="46">
        <f t="shared" ref="W186" si="148">IF(O186=R186,1,0)</f>
        <v>0</v>
      </c>
    </row>
    <row r="187" spans="2:23" ht="40" customHeight="1">
      <c r="B187" s="15"/>
      <c r="C187" s="25" t="s">
        <v>451</v>
      </c>
      <c r="D187" s="25"/>
      <c r="E187" s="25"/>
      <c r="F187" s="25" t="s">
        <v>452</v>
      </c>
      <c r="G187" s="25"/>
      <c r="H187" s="25"/>
      <c r="I187" s="25" t="s">
        <v>453</v>
      </c>
      <c r="J187" s="25"/>
      <c r="K187" s="25"/>
      <c r="L187" s="25" t="s">
        <v>454</v>
      </c>
      <c r="M187" s="25"/>
      <c r="N187" s="25"/>
      <c r="O187" s="18"/>
      <c r="P187" s="27"/>
      <c r="Q187" s="29"/>
      <c r="R187" s="30"/>
      <c r="U187">
        <v>185</v>
      </c>
      <c r="V187" s="9">
        <v>1</v>
      </c>
      <c r="W187" s="46"/>
    </row>
    <row r="188" spans="2:23" ht="40" customHeight="1">
      <c r="B188" s="14">
        <v>93</v>
      </c>
      <c r="C188" s="16" t="s">
        <v>455</v>
      </c>
      <c r="D188" s="16"/>
      <c r="E188" s="16"/>
      <c r="F188" s="16"/>
      <c r="G188" s="16"/>
      <c r="H188" s="16"/>
      <c r="I188" s="16"/>
      <c r="J188" s="16"/>
      <c r="K188" s="16"/>
      <c r="L188" s="16"/>
      <c r="M188" s="16"/>
      <c r="N188" s="16"/>
      <c r="O188" s="17"/>
      <c r="P188" s="19" t="str">
        <f t="shared" ref="P188" si="149">Q188</f>
        <v>×</v>
      </c>
      <c r="Q188" s="28" t="str">
        <f t="shared" ref="Q188" si="150">IF(O188=R188,$S$3,$T$3)</f>
        <v>×</v>
      </c>
      <c r="R188" s="23" t="s">
        <v>287</v>
      </c>
      <c r="U188">
        <v>186</v>
      </c>
      <c r="V188" s="9">
        <v>2</v>
      </c>
      <c r="W188" s="46">
        <f t="shared" ref="W188" si="151">IF(O188=R188,1,0)</f>
        <v>0</v>
      </c>
    </row>
    <row r="189" spans="2:23" ht="40" customHeight="1">
      <c r="B189" s="15"/>
      <c r="C189" s="25" t="s">
        <v>456</v>
      </c>
      <c r="D189" s="25"/>
      <c r="E189" s="25"/>
      <c r="F189" s="25" t="s">
        <v>457</v>
      </c>
      <c r="G189" s="25"/>
      <c r="H189" s="25"/>
      <c r="I189" s="25" t="s">
        <v>458</v>
      </c>
      <c r="J189" s="25"/>
      <c r="K189" s="25"/>
      <c r="L189" s="25" t="s">
        <v>459</v>
      </c>
      <c r="M189" s="25"/>
      <c r="N189" s="25"/>
      <c r="O189" s="18"/>
      <c r="P189" s="27"/>
      <c r="Q189" s="29"/>
      <c r="R189" s="30"/>
      <c r="U189">
        <v>187</v>
      </c>
      <c r="V189" s="9">
        <v>1</v>
      </c>
      <c r="W189" s="46"/>
    </row>
    <row r="190" spans="2:23" ht="40" customHeight="1">
      <c r="B190" s="14">
        <v>94</v>
      </c>
      <c r="C190" s="16" t="s">
        <v>460</v>
      </c>
      <c r="D190" s="16"/>
      <c r="E190" s="16"/>
      <c r="F190" s="16"/>
      <c r="G190" s="16"/>
      <c r="H190" s="16"/>
      <c r="I190" s="16"/>
      <c r="J190" s="16"/>
      <c r="K190" s="16"/>
      <c r="L190" s="16"/>
      <c r="M190" s="16"/>
      <c r="N190" s="16"/>
      <c r="O190" s="17"/>
      <c r="P190" s="19" t="str">
        <f t="shared" ref="P190" si="152">Q190</f>
        <v>×</v>
      </c>
      <c r="Q190" s="28" t="str">
        <f t="shared" ref="Q190" si="153">IF(O190=R190,$S$3,$T$3)</f>
        <v>×</v>
      </c>
      <c r="R190" s="23" t="s">
        <v>289</v>
      </c>
      <c r="U190">
        <v>188</v>
      </c>
      <c r="V190" s="9">
        <v>2</v>
      </c>
      <c r="W190" s="46">
        <f t="shared" ref="W190" si="154">IF(O190=R190,1,0)</f>
        <v>0</v>
      </c>
    </row>
    <row r="191" spans="2:23" ht="40" customHeight="1">
      <c r="B191" s="15"/>
      <c r="C191" s="25" t="s">
        <v>461</v>
      </c>
      <c r="D191" s="25"/>
      <c r="E191" s="25"/>
      <c r="F191" s="25" t="s">
        <v>462</v>
      </c>
      <c r="G191" s="25"/>
      <c r="H191" s="25"/>
      <c r="I191" s="25" t="s">
        <v>463</v>
      </c>
      <c r="J191" s="25"/>
      <c r="K191" s="25"/>
      <c r="L191" s="25" t="s">
        <v>464</v>
      </c>
      <c r="M191" s="25"/>
      <c r="N191" s="25"/>
      <c r="O191" s="18"/>
      <c r="P191" s="27"/>
      <c r="Q191" s="29"/>
      <c r="R191" s="30"/>
      <c r="U191">
        <v>189</v>
      </c>
      <c r="V191" s="9">
        <v>1</v>
      </c>
      <c r="W191" s="46"/>
    </row>
    <row r="192" spans="2:23" ht="40" customHeight="1">
      <c r="B192" s="14">
        <v>95</v>
      </c>
      <c r="C192" s="16" t="s">
        <v>465</v>
      </c>
      <c r="D192" s="16"/>
      <c r="E192" s="16"/>
      <c r="F192" s="16"/>
      <c r="G192" s="16"/>
      <c r="H192" s="16"/>
      <c r="I192" s="16"/>
      <c r="J192" s="16"/>
      <c r="K192" s="16"/>
      <c r="L192" s="16"/>
      <c r="M192" s="16"/>
      <c r="N192" s="16"/>
      <c r="O192" s="17"/>
      <c r="P192" s="19" t="str">
        <f t="shared" ref="P192" si="155">Q192</f>
        <v>×</v>
      </c>
      <c r="Q192" s="28" t="str">
        <f t="shared" ref="Q192" si="156">IF(O192=R192,$S$3,$T$3)</f>
        <v>×</v>
      </c>
      <c r="R192" s="23" t="s">
        <v>287</v>
      </c>
      <c r="U192">
        <v>190</v>
      </c>
      <c r="V192" s="9">
        <v>2</v>
      </c>
      <c r="W192" s="46">
        <f t="shared" ref="W192" si="157">IF(O192=R192,1,0)</f>
        <v>0</v>
      </c>
    </row>
    <row r="193" spans="2:23" ht="40" customHeight="1">
      <c r="B193" s="15"/>
      <c r="C193" s="25" t="s">
        <v>466</v>
      </c>
      <c r="D193" s="25"/>
      <c r="E193" s="25"/>
      <c r="F193" s="25" t="s">
        <v>467</v>
      </c>
      <c r="G193" s="25"/>
      <c r="H193" s="25"/>
      <c r="I193" s="25" t="s">
        <v>194</v>
      </c>
      <c r="J193" s="25"/>
      <c r="K193" s="25"/>
      <c r="L193" s="25" t="s">
        <v>468</v>
      </c>
      <c r="M193" s="25"/>
      <c r="N193" s="25"/>
      <c r="O193" s="18"/>
      <c r="P193" s="27"/>
      <c r="Q193" s="29"/>
      <c r="R193" s="30"/>
      <c r="U193">
        <v>191</v>
      </c>
      <c r="V193" s="9">
        <v>1</v>
      </c>
      <c r="W193" s="46"/>
    </row>
    <row r="194" spans="2:23" ht="40" customHeight="1">
      <c r="B194" s="14">
        <v>96</v>
      </c>
      <c r="C194" s="16" t="s">
        <v>469</v>
      </c>
      <c r="D194" s="16"/>
      <c r="E194" s="16"/>
      <c r="F194" s="16"/>
      <c r="G194" s="16"/>
      <c r="H194" s="16"/>
      <c r="I194" s="16"/>
      <c r="J194" s="16"/>
      <c r="K194" s="16"/>
      <c r="L194" s="16"/>
      <c r="M194" s="16"/>
      <c r="N194" s="16"/>
      <c r="O194" s="17"/>
      <c r="P194" s="19" t="str">
        <f t="shared" ref="P194" si="158">Q194</f>
        <v>×</v>
      </c>
      <c r="Q194" s="28" t="str">
        <f t="shared" ref="Q194" si="159">IF(O194=R194,$S$3,$T$3)</f>
        <v>×</v>
      </c>
      <c r="R194" s="23" t="s">
        <v>290</v>
      </c>
      <c r="U194">
        <v>192</v>
      </c>
      <c r="V194" s="9">
        <v>2</v>
      </c>
      <c r="W194" s="46">
        <f t="shared" ref="W194" si="160">IF(O194=R194,1,0)</f>
        <v>0</v>
      </c>
    </row>
    <row r="195" spans="2:23" ht="40" customHeight="1">
      <c r="B195" s="15"/>
      <c r="C195" s="25" t="s">
        <v>470</v>
      </c>
      <c r="D195" s="25"/>
      <c r="E195" s="25"/>
      <c r="F195" s="25" t="s">
        <v>471</v>
      </c>
      <c r="G195" s="25"/>
      <c r="H195" s="25"/>
      <c r="I195" s="25" t="s">
        <v>472</v>
      </c>
      <c r="J195" s="25"/>
      <c r="K195" s="25"/>
      <c r="L195" s="25" t="s">
        <v>473</v>
      </c>
      <c r="M195" s="25"/>
      <c r="N195" s="25"/>
      <c r="O195" s="18"/>
      <c r="P195" s="27"/>
      <c r="Q195" s="29"/>
      <c r="R195" s="30"/>
      <c r="U195">
        <v>193</v>
      </c>
      <c r="V195" s="9">
        <v>1</v>
      </c>
      <c r="W195" s="46"/>
    </row>
    <row r="196" spans="2:23" ht="40" customHeight="1">
      <c r="B196" s="14">
        <v>97</v>
      </c>
      <c r="C196" s="16" t="s">
        <v>474</v>
      </c>
      <c r="D196" s="16"/>
      <c r="E196" s="16"/>
      <c r="F196" s="16"/>
      <c r="G196" s="16"/>
      <c r="H196" s="16"/>
      <c r="I196" s="16"/>
      <c r="J196" s="16"/>
      <c r="K196" s="16"/>
      <c r="L196" s="16"/>
      <c r="M196" s="16"/>
      <c r="N196" s="16"/>
      <c r="O196" s="17"/>
      <c r="P196" s="19" t="str">
        <f t="shared" ref="P196" si="161">Q196</f>
        <v>×</v>
      </c>
      <c r="Q196" s="28" t="str">
        <f t="shared" ref="Q196" si="162">IF(O196=R196,$S$3,$T$3)</f>
        <v>×</v>
      </c>
      <c r="R196" s="23" t="s">
        <v>290</v>
      </c>
      <c r="U196">
        <v>194</v>
      </c>
      <c r="V196" s="9">
        <v>2</v>
      </c>
      <c r="W196" s="46">
        <f t="shared" ref="W196" si="163">IF(O196=R196,1,0)</f>
        <v>0</v>
      </c>
    </row>
    <row r="197" spans="2:23" ht="40" customHeight="1">
      <c r="B197" s="15"/>
      <c r="C197" s="25" t="s">
        <v>475</v>
      </c>
      <c r="D197" s="25"/>
      <c r="E197" s="25"/>
      <c r="F197" s="25" t="s">
        <v>457</v>
      </c>
      <c r="G197" s="25"/>
      <c r="H197" s="25"/>
      <c r="I197" s="25" t="s">
        <v>476</v>
      </c>
      <c r="J197" s="25"/>
      <c r="K197" s="25"/>
      <c r="L197" s="25" t="s">
        <v>477</v>
      </c>
      <c r="M197" s="25"/>
      <c r="N197" s="25"/>
      <c r="O197" s="18"/>
      <c r="P197" s="27"/>
      <c r="Q197" s="29"/>
      <c r="R197" s="30"/>
      <c r="U197">
        <v>195</v>
      </c>
      <c r="V197" s="9">
        <v>1</v>
      </c>
      <c r="W197" s="46"/>
    </row>
    <row r="198" spans="2:23" ht="40" customHeight="1">
      <c r="B198" s="14">
        <v>98</v>
      </c>
      <c r="C198" s="16" t="s">
        <v>478</v>
      </c>
      <c r="D198" s="16"/>
      <c r="E198" s="16"/>
      <c r="F198" s="16"/>
      <c r="G198" s="16"/>
      <c r="H198" s="16"/>
      <c r="I198" s="16"/>
      <c r="J198" s="16"/>
      <c r="K198" s="16"/>
      <c r="L198" s="16"/>
      <c r="M198" s="16"/>
      <c r="N198" s="16"/>
      <c r="O198" s="17"/>
      <c r="P198" s="19" t="str">
        <f t="shared" ref="P198" si="164">Q198</f>
        <v>×</v>
      </c>
      <c r="Q198" s="28" t="str">
        <f t="shared" ref="Q198" si="165">IF(O198=R198,$S$3,$T$3)</f>
        <v>×</v>
      </c>
      <c r="R198" s="23" t="s">
        <v>287</v>
      </c>
      <c r="U198">
        <v>196</v>
      </c>
      <c r="V198" s="9">
        <v>2</v>
      </c>
      <c r="W198" s="46">
        <f t="shared" ref="W198" si="166">IF(O198=R198,1,0)</f>
        <v>0</v>
      </c>
    </row>
    <row r="199" spans="2:23" ht="40" customHeight="1">
      <c r="B199" s="15"/>
      <c r="C199" s="25" t="s">
        <v>479</v>
      </c>
      <c r="D199" s="25"/>
      <c r="E199" s="25"/>
      <c r="F199" s="25" t="s">
        <v>480</v>
      </c>
      <c r="G199" s="25"/>
      <c r="H199" s="25"/>
      <c r="I199" s="25" t="s">
        <v>481</v>
      </c>
      <c r="J199" s="25"/>
      <c r="K199" s="25"/>
      <c r="L199" s="25" t="s">
        <v>482</v>
      </c>
      <c r="M199" s="25"/>
      <c r="N199" s="25"/>
      <c r="O199" s="18"/>
      <c r="P199" s="27"/>
      <c r="Q199" s="29"/>
      <c r="R199" s="30"/>
      <c r="U199">
        <v>197</v>
      </c>
      <c r="V199" s="9">
        <v>1</v>
      </c>
      <c r="W199" s="46"/>
    </row>
    <row r="200" spans="2:23" ht="40" customHeight="1">
      <c r="B200" s="14">
        <v>99</v>
      </c>
      <c r="C200" s="16" t="s">
        <v>483</v>
      </c>
      <c r="D200" s="16"/>
      <c r="E200" s="16"/>
      <c r="F200" s="16"/>
      <c r="G200" s="16"/>
      <c r="H200" s="16"/>
      <c r="I200" s="16"/>
      <c r="J200" s="16"/>
      <c r="K200" s="16"/>
      <c r="L200" s="16"/>
      <c r="M200" s="16"/>
      <c r="N200" s="16"/>
      <c r="O200" s="17"/>
      <c r="P200" s="19" t="str">
        <f t="shared" ref="P200" si="167">Q200</f>
        <v>×</v>
      </c>
      <c r="Q200" s="28" t="str">
        <f t="shared" ref="Q200" si="168">IF(O200=R200,$S$3,$T$3)</f>
        <v>×</v>
      </c>
      <c r="R200" s="23" t="s">
        <v>290</v>
      </c>
      <c r="U200">
        <v>198</v>
      </c>
      <c r="V200" s="9">
        <v>2</v>
      </c>
      <c r="W200" s="46">
        <f t="shared" ref="W200" si="169">IF(O200=R200,1,0)</f>
        <v>0</v>
      </c>
    </row>
    <row r="201" spans="2:23" ht="40" customHeight="1">
      <c r="B201" s="15"/>
      <c r="C201" s="25" t="s">
        <v>442</v>
      </c>
      <c r="D201" s="25"/>
      <c r="E201" s="25"/>
      <c r="F201" s="25" t="s">
        <v>484</v>
      </c>
      <c r="G201" s="25"/>
      <c r="H201" s="25"/>
      <c r="I201" s="25" t="s">
        <v>444</v>
      </c>
      <c r="J201" s="25"/>
      <c r="K201" s="25"/>
      <c r="L201" s="25" t="s">
        <v>485</v>
      </c>
      <c r="M201" s="25"/>
      <c r="N201" s="25"/>
      <c r="O201" s="18"/>
      <c r="P201" s="27"/>
      <c r="Q201" s="29"/>
      <c r="R201" s="30"/>
      <c r="U201">
        <v>199</v>
      </c>
      <c r="V201" s="9">
        <v>1</v>
      </c>
      <c r="W201" s="46"/>
    </row>
    <row r="202" spans="2:23" ht="40" customHeight="1">
      <c r="B202" s="14">
        <v>100</v>
      </c>
      <c r="C202" s="16" t="s">
        <v>486</v>
      </c>
      <c r="D202" s="16"/>
      <c r="E202" s="16"/>
      <c r="F202" s="16"/>
      <c r="G202" s="16"/>
      <c r="H202" s="16"/>
      <c r="I202" s="16"/>
      <c r="J202" s="16"/>
      <c r="K202" s="16"/>
      <c r="L202" s="16"/>
      <c r="M202" s="16"/>
      <c r="N202" s="16"/>
      <c r="O202" s="17"/>
      <c r="P202" s="19" t="str">
        <f>Q202</f>
        <v>×</v>
      </c>
      <c r="Q202" s="28" t="str">
        <f>IF(O202=R202,$S$3,$T$3)</f>
        <v>×</v>
      </c>
      <c r="R202" s="23" t="s">
        <v>287</v>
      </c>
      <c r="U202">
        <v>200</v>
      </c>
      <c r="V202" s="9">
        <v>2</v>
      </c>
      <c r="W202" s="46">
        <f t="shared" ref="W202" si="170">IF(O202=R202,1,0)</f>
        <v>0</v>
      </c>
    </row>
    <row r="203" spans="2:23" ht="40" customHeight="1">
      <c r="B203" s="15"/>
      <c r="C203" s="25" t="s">
        <v>487</v>
      </c>
      <c r="D203" s="25"/>
      <c r="E203" s="25"/>
      <c r="F203" s="25" t="s">
        <v>488</v>
      </c>
      <c r="G203" s="25"/>
      <c r="H203" s="25"/>
      <c r="I203" s="25" t="s">
        <v>489</v>
      </c>
      <c r="J203" s="25"/>
      <c r="K203" s="25"/>
      <c r="L203" s="25" t="s">
        <v>490</v>
      </c>
      <c r="M203" s="25"/>
      <c r="N203" s="25"/>
      <c r="O203" s="18"/>
      <c r="P203" s="27"/>
      <c r="Q203" s="29"/>
      <c r="R203" s="30"/>
      <c r="U203">
        <v>201</v>
      </c>
      <c r="V203" s="9">
        <v>1</v>
      </c>
      <c r="W203" s="46"/>
    </row>
    <row r="204" spans="2:23" ht="40" customHeight="1">
      <c r="B204" s="14">
        <v>101</v>
      </c>
      <c r="C204" s="16" t="s">
        <v>491</v>
      </c>
      <c r="D204" s="16"/>
      <c r="E204" s="16"/>
      <c r="F204" s="16"/>
      <c r="G204" s="16"/>
      <c r="H204" s="16"/>
      <c r="I204" s="16"/>
      <c r="J204" s="16"/>
      <c r="K204" s="16"/>
      <c r="L204" s="16"/>
      <c r="M204" s="16"/>
      <c r="N204" s="16"/>
      <c r="O204" s="17"/>
      <c r="P204" s="19" t="str">
        <f t="shared" ref="P204" si="171">Q204</f>
        <v>×</v>
      </c>
      <c r="Q204" s="28" t="str">
        <f t="shared" ref="Q204" si="172">IF(O204=R204,$S$3,$T$3)</f>
        <v>×</v>
      </c>
      <c r="R204" s="23" t="s">
        <v>287</v>
      </c>
      <c r="U204">
        <v>202</v>
      </c>
      <c r="V204" s="9">
        <v>2</v>
      </c>
      <c r="W204" s="46">
        <f t="shared" ref="W204" si="173">IF(O204=R204,1,0)</f>
        <v>0</v>
      </c>
    </row>
    <row r="205" spans="2:23" ht="40" customHeight="1">
      <c r="B205" s="15"/>
      <c r="C205" s="25" t="s">
        <v>492</v>
      </c>
      <c r="D205" s="25"/>
      <c r="E205" s="25"/>
      <c r="F205" s="25" t="s">
        <v>493</v>
      </c>
      <c r="G205" s="25"/>
      <c r="H205" s="25"/>
      <c r="I205" s="25" t="s">
        <v>494</v>
      </c>
      <c r="J205" s="25"/>
      <c r="K205" s="25"/>
      <c r="L205" s="25" t="s">
        <v>495</v>
      </c>
      <c r="M205" s="25"/>
      <c r="N205" s="25"/>
      <c r="O205" s="18"/>
      <c r="P205" s="27"/>
      <c r="Q205" s="29"/>
      <c r="R205" s="30"/>
      <c r="U205">
        <v>203</v>
      </c>
      <c r="V205" s="9">
        <v>1</v>
      </c>
      <c r="W205" s="46"/>
    </row>
    <row r="206" spans="2:23" ht="40" customHeight="1">
      <c r="B206" s="14">
        <v>102</v>
      </c>
      <c r="C206" s="16" t="s">
        <v>496</v>
      </c>
      <c r="D206" s="16"/>
      <c r="E206" s="16"/>
      <c r="F206" s="16"/>
      <c r="G206" s="16"/>
      <c r="H206" s="16"/>
      <c r="I206" s="16"/>
      <c r="J206" s="16"/>
      <c r="K206" s="16"/>
      <c r="L206" s="16"/>
      <c r="M206" s="16"/>
      <c r="N206" s="16"/>
      <c r="O206" s="17"/>
      <c r="P206" s="19" t="str">
        <f t="shared" ref="P206" si="174">Q206</f>
        <v>×</v>
      </c>
      <c r="Q206" s="28" t="str">
        <f t="shared" ref="Q206" si="175">IF(O206=R206,$S$3,$T$3)</f>
        <v>×</v>
      </c>
      <c r="R206" s="23" t="s">
        <v>288</v>
      </c>
      <c r="U206">
        <v>204</v>
      </c>
      <c r="V206" s="9">
        <v>2</v>
      </c>
      <c r="W206" s="46">
        <f t="shared" ref="W206" si="176">IF(O206=R206,1,0)</f>
        <v>0</v>
      </c>
    </row>
    <row r="207" spans="2:23" ht="40" customHeight="1">
      <c r="B207" s="15"/>
      <c r="C207" s="25" t="s">
        <v>497</v>
      </c>
      <c r="D207" s="25"/>
      <c r="E207" s="25"/>
      <c r="F207" s="25" t="s">
        <v>498</v>
      </c>
      <c r="G207" s="25"/>
      <c r="H207" s="25"/>
      <c r="I207" s="25" t="s">
        <v>499</v>
      </c>
      <c r="J207" s="25"/>
      <c r="K207" s="25"/>
      <c r="L207" s="25" t="s">
        <v>500</v>
      </c>
      <c r="M207" s="25"/>
      <c r="N207" s="25"/>
      <c r="O207" s="18"/>
      <c r="P207" s="27"/>
      <c r="Q207" s="29"/>
      <c r="R207" s="30"/>
      <c r="U207">
        <v>205</v>
      </c>
      <c r="V207" s="9">
        <v>1</v>
      </c>
      <c r="W207" s="46"/>
    </row>
    <row r="208" spans="2:23" ht="40" customHeight="1">
      <c r="B208" s="14">
        <v>103</v>
      </c>
      <c r="C208" s="16" t="s">
        <v>501</v>
      </c>
      <c r="D208" s="16"/>
      <c r="E208" s="16"/>
      <c r="F208" s="16"/>
      <c r="G208" s="16"/>
      <c r="H208" s="16"/>
      <c r="I208" s="16"/>
      <c r="J208" s="16"/>
      <c r="K208" s="16"/>
      <c r="L208" s="16"/>
      <c r="M208" s="16"/>
      <c r="N208" s="16"/>
      <c r="O208" s="17"/>
      <c r="P208" s="19" t="str">
        <f t="shared" ref="P208" si="177">Q208</f>
        <v>×</v>
      </c>
      <c r="Q208" s="28" t="str">
        <f t="shared" ref="Q208" si="178">IF(O208=R208,$S$3,$T$3)</f>
        <v>×</v>
      </c>
      <c r="R208" s="23" t="s">
        <v>289</v>
      </c>
      <c r="U208">
        <v>206</v>
      </c>
      <c r="V208" s="9">
        <v>2</v>
      </c>
      <c r="W208" s="46">
        <f t="shared" ref="W208" si="179">IF(O208=R208,1,0)</f>
        <v>0</v>
      </c>
    </row>
    <row r="209" spans="2:23" ht="40" customHeight="1">
      <c r="B209" s="15"/>
      <c r="C209" s="25" t="s">
        <v>502</v>
      </c>
      <c r="D209" s="25"/>
      <c r="E209" s="25"/>
      <c r="F209" s="25" t="s">
        <v>503</v>
      </c>
      <c r="G209" s="25"/>
      <c r="H209" s="25"/>
      <c r="I209" s="25" t="s">
        <v>504</v>
      </c>
      <c r="J209" s="25"/>
      <c r="K209" s="25"/>
      <c r="L209" s="25" t="s">
        <v>505</v>
      </c>
      <c r="M209" s="25"/>
      <c r="N209" s="25"/>
      <c r="O209" s="18"/>
      <c r="P209" s="27"/>
      <c r="Q209" s="29"/>
      <c r="R209" s="30"/>
      <c r="U209">
        <v>207</v>
      </c>
      <c r="V209" s="9">
        <v>1</v>
      </c>
      <c r="W209" s="46"/>
    </row>
    <row r="210" spans="2:23" ht="40" customHeight="1">
      <c r="B210" s="14">
        <v>104</v>
      </c>
      <c r="C210" s="16" t="s">
        <v>506</v>
      </c>
      <c r="D210" s="16"/>
      <c r="E210" s="16"/>
      <c r="F210" s="16"/>
      <c r="G210" s="16"/>
      <c r="H210" s="16"/>
      <c r="I210" s="16"/>
      <c r="J210" s="16"/>
      <c r="K210" s="16"/>
      <c r="L210" s="16"/>
      <c r="M210" s="16"/>
      <c r="N210" s="16"/>
      <c r="O210" s="17"/>
      <c r="P210" s="19" t="str">
        <f t="shared" ref="P210" si="180">Q210</f>
        <v>×</v>
      </c>
      <c r="Q210" s="28" t="str">
        <f t="shared" ref="Q210" si="181">IF(O210=R210,$S$3,$T$3)</f>
        <v>×</v>
      </c>
      <c r="R210" s="23" t="s">
        <v>288</v>
      </c>
      <c r="U210">
        <v>208</v>
      </c>
      <c r="V210" s="9">
        <v>2</v>
      </c>
      <c r="W210" s="46">
        <f t="shared" ref="W210" si="182">IF(O210=R210,1,0)</f>
        <v>0</v>
      </c>
    </row>
    <row r="211" spans="2:23" ht="40" customHeight="1">
      <c r="B211" s="15"/>
      <c r="C211" s="25" t="s">
        <v>507</v>
      </c>
      <c r="D211" s="25"/>
      <c r="E211" s="25"/>
      <c r="F211" s="25" t="s">
        <v>508</v>
      </c>
      <c r="G211" s="25"/>
      <c r="H211" s="25"/>
      <c r="I211" s="25" t="s">
        <v>509</v>
      </c>
      <c r="J211" s="25"/>
      <c r="K211" s="25"/>
      <c r="L211" s="25" t="s">
        <v>510</v>
      </c>
      <c r="M211" s="25"/>
      <c r="N211" s="25"/>
      <c r="O211" s="18"/>
      <c r="P211" s="27"/>
      <c r="Q211" s="29"/>
      <c r="R211" s="30"/>
      <c r="U211">
        <v>209</v>
      </c>
      <c r="V211" s="9">
        <v>1</v>
      </c>
      <c r="W211" s="46"/>
    </row>
    <row r="212" spans="2:23" ht="40" customHeight="1">
      <c r="B212" s="14">
        <v>105</v>
      </c>
      <c r="C212" s="16" t="s">
        <v>511</v>
      </c>
      <c r="D212" s="16"/>
      <c r="E212" s="16"/>
      <c r="F212" s="16"/>
      <c r="G212" s="16"/>
      <c r="H212" s="16"/>
      <c r="I212" s="16"/>
      <c r="J212" s="16"/>
      <c r="K212" s="16"/>
      <c r="L212" s="16"/>
      <c r="M212" s="16"/>
      <c r="N212" s="16"/>
      <c r="O212" s="17"/>
      <c r="P212" s="19" t="str">
        <f t="shared" ref="P212" si="183">Q212</f>
        <v>×</v>
      </c>
      <c r="Q212" s="28" t="str">
        <f t="shared" ref="Q212" si="184">IF(O212=R212,$S$3,$T$3)</f>
        <v>×</v>
      </c>
      <c r="R212" s="23" t="s">
        <v>290</v>
      </c>
      <c r="U212">
        <v>210</v>
      </c>
      <c r="V212" s="9">
        <v>2</v>
      </c>
      <c r="W212" s="46">
        <f t="shared" ref="W212" si="185">IF(O212=R212,1,0)</f>
        <v>0</v>
      </c>
    </row>
    <row r="213" spans="2:23" ht="40" customHeight="1">
      <c r="B213" s="15"/>
      <c r="C213" s="25" t="s">
        <v>512</v>
      </c>
      <c r="D213" s="25"/>
      <c r="E213" s="25"/>
      <c r="F213" s="25" t="s">
        <v>513</v>
      </c>
      <c r="G213" s="25"/>
      <c r="H213" s="25"/>
      <c r="I213" s="25" t="s">
        <v>514</v>
      </c>
      <c r="J213" s="25"/>
      <c r="K213" s="25"/>
      <c r="L213" s="25" t="s">
        <v>515</v>
      </c>
      <c r="M213" s="25"/>
      <c r="N213" s="25"/>
      <c r="O213" s="18"/>
      <c r="P213" s="27"/>
      <c r="Q213" s="29"/>
      <c r="R213" s="30"/>
      <c r="U213">
        <v>211</v>
      </c>
      <c r="V213" s="9">
        <v>1</v>
      </c>
      <c r="W213" s="46"/>
    </row>
    <row r="214" spans="2:23" ht="40" customHeight="1">
      <c r="B214" s="14">
        <v>106</v>
      </c>
      <c r="C214" s="16" t="s">
        <v>516</v>
      </c>
      <c r="D214" s="16"/>
      <c r="E214" s="16"/>
      <c r="F214" s="16"/>
      <c r="G214" s="16"/>
      <c r="H214" s="16"/>
      <c r="I214" s="16"/>
      <c r="J214" s="16"/>
      <c r="K214" s="16"/>
      <c r="L214" s="16"/>
      <c r="M214" s="16"/>
      <c r="N214" s="16"/>
      <c r="O214" s="17"/>
      <c r="P214" s="19" t="str">
        <f t="shared" ref="P214" si="186">Q214</f>
        <v>×</v>
      </c>
      <c r="Q214" s="28" t="str">
        <f t="shared" ref="Q214" si="187">IF(O214=R214,$S$3,$T$3)</f>
        <v>×</v>
      </c>
      <c r="R214" s="23" t="s">
        <v>287</v>
      </c>
      <c r="U214">
        <v>212</v>
      </c>
      <c r="V214" s="9">
        <v>2</v>
      </c>
      <c r="W214" s="46">
        <f t="shared" ref="W214" si="188">IF(O214=R214,1,0)</f>
        <v>0</v>
      </c>
    </row>
    <row r="215" spans="2:23" ht="40" customHeight="1">
      <c r="B215" s="15"/>
      <c r="C215" s="25" t="s">
        <v>517</v>
      </c>
      <c r="D215" s="25"/>
      <c r="E215" s="25"/>
      <c r="F215" s="25" t="s">
        <v>518</v>
      </c>
      <c r="G215" s="25"/>
      <c r="H215" s="25"/>
      <c r="I215" s="25" t="s">
        <v>519</v>
      </c>
      <c r="J215" s="25"/>
      <c r="K215" s="25"/>
      <c r="L215" s="25" t="s">
        <v>520</v>
      </c>
      <c r="M215" s="25"/>
      <c r="N215" s="25"/>
      <c r="O215" s="18"/>
      <c r="P215" s="27"/>
      <c r="Q215" s="29"/>
      <c r="R215" s="30"/>
      <c r="U215">
        <v>213</v>
      </c>
      <c r="V215" s="9">
        <v>1</v>
      </c>
      <c r="W215" s="46"/>
    </row>
    <row r="216" spans="2:23" ht="40" customHeight="1">
      <c r="B216" s="14">
        <v>107</v>
      </c>
      <c r="C216" s="16" t="s">
        <v>521</v>
      </c>
      <c r="D216" s="16"/>
      <c r="E216" s="16"/>
      <c r="F216" s="16"/>
      <c r="G216" s="16"/>
      <c r="H216" s="16"/>
      <c r="I216" s="16"/>
      <c r="J216" s="16"/>
      <c r="K216" s="16"/>
      <c r="L216" s="16"/>
      <c r="M216" s="16"/>
      <c r="N216" s="16"/>
      <c r="O216" s="17"/>
      <c r="P216" s="19" t="str">
        <f t="shared" ref="P216" si="189">Q216</f>
        <v>×</v>
      </c>
      <c r="Q216" s="28" t="str">
        <f t="shared" ref="Q216" si="190">IF(O216=R216,$S$3,$T$3)</f>
        <v>×</v>
      </c>
      <c r="R216" s="23" t="s">
        <v>287</v>
      </c>
      <c r="U216">
        <v>214</v>
      </c>
      <c r="V216" s="9">
        <v>2</v>
      </c>
      <c r="W216" s="46">
        <f t="shared" ref="W216" si="191">IF(O216=R216,1,0)</f>
        <v>0</v>
      </c>
    </row>
    <row r="217" spans="2:23" ht="40" customHeight="1">
      <c r="B217" s="15"/>
      <c r="C217" s="25" t="s">
        <v>522</v>
      </c>
      <c r="D217" s="25"/>
      <c r="E217" s="25"/>
      <c r="F217" s="25" t="s">
        <v>523</v>
      </c>
      <c r="G217" s="25"/>
      <c r="H217" s="25"/>
      <c r="I217" s="25" t="s">
        <v>524</v>
      </c>
      <c r="J217" s="25"/>
      <c r="K217" s="25"/>
      <c r="L217" s="25" t="s">
        <v>525</v>
      </c>
      <c r="M217" s="25"/>
      <c r="N217" s="25"/>
      <c r="O217" s="18"/>
      <c r="P217" s="27"/>
      <c r="Q217" s="29"/>
      <c r="R217" s="30"/>
      <c r="U217">
        <v>215</v>
      </c>
      <c r="V217" s="9">
        <v>1</v>
      </c>
      <c r="W217" s="46"/>
    </row>
    <row r="218" spans="2:23" ht="40" customHeight="1">
      <c r="B218" s="14">
        <v>108</v>
      </c>
      <c r="C218" s="16" t="s">
        <v>526</v>
      </c>
      <c r="D218" s="16"/>
      <c r="E218" s="16"/>
      <c r="F218" s="16"/>
      <c r="G218" s="16"/>
      <c r="H218" s="16"/>
      <c r="I218" s="16"/>
      <c r="J218" s="16"/>
      <c r="K218" s="16"/>
      <c r="L218" s="16"/>
      <c r="M218" s="16"/>
      <c r="N218" s="16"/>
      <c r="O218" s="17"/>
      <c r="P218" s="19" t="str">
        <f t="shared" ref="P218" si="192">Q218</f>
        <v>×</v>
      </c>
      <c r="Q218" s="28" t="str">
        <f t="shared" ref="Q218" si="193">IF(O218=R218,$S$3,$T$3)</f>
        <v>×</v>
      </c>
      <c r="R218" s="23" t="s">
        <v>289</v>
      </c>
      <c r="U218">
        <v>216</v>
      </c>
      <c r="V218" s="9">
        <v>2</v>
      </c>
      <c r="W218" s="46">
        <f t="shared" ref="W218" si="194">IF(O218=R218,1,0)</f>
        <v>0</v>
      </c>
    </row>
    <row r="219" spans="2:23" ht="40" customHeight="1">
      <c r="B219" s="15"/>
      <c r="C219" s="25" t="s">
        <v>527</v>
      </c>
      <c r="D219" s="25"/>
      <c r="E219" s="25"/>
      <c r="F219" s="25" t="s">
        <v>528</v>
      </c>
      <c r="G219" s="25"/>
      <c r="H219" s="25"/>
      <c r="I219" s="25" t="s">
        <v>529</v>
      </c>
      <c r="J219" s="25"/>
      <c r="K219" s="25"/>
      <c r="L219" s="25" t="s">
        <v>530</v>
      </c>
      <c r="M219" s="25"/>
      <c r="N219" s="25"/>
      <c r="O219" s="18"/>
      <c r="P219" s="27"/>
      <c r="Q219" s="29"/>
      <c r="R219" s="30"/>
      <c r="U219">
        <v>217</v>
      </c>
      <c r="V219" s="9">
        <v>1</v>
      </c>
      <c r="W219" s="46"/>
    </row>
    <row r="220" spans="2:23" ht="40" customHeight="1">
      <c r="B220" s="14">
        <v>109</v>
      </c>
      <c r="C220" s="16" t="s">
        <v>531</v>
      </c>
      <c r="D220" s="16"/>
      <c r="E220" s="16"/>
      <c r="F220" s="16"/>
      <c r="G220" s="16"/>
      <c r="H220" s="16"/>
      <c r="I220" s="16"/>
      <c r="J220" s="16"/>
      <c r="K220" s="16"/>
      <c r="L220" s="16"/>
      <c r="M220" s="16"/>
      <c r="N220" s="16"/>
      <c r="O220" s="17"/>
      <c r="P220" s="19" t="str">
        <f t="shared" ref="P220" si="195">Q220</f>
        <v>×</v>
      </c>
      <c r="Q220" s="28" t="str">
        <f t="shared" ref="Q220" si="196">IF(O220=R220,$S$3,$T$3)</f>
        <v>×</v>
      </c>
      <c r="R220" s="23" t="s">
        <v>287</v>
      </c>
      <c r="U220">
        <v>218</v>
      </c>
      <c r="V220" s="9">
        <v>2</v>
      </c>
      <c r="W220" s="46">
        <f t="shared" ref="W220" si="197">IF(O220=R220,1,0)</f>
        <v>0</v>
      </c>
    </row>
    <row r="221" spans="2:23" ht="40" customHeight="1">
      <c r="B221" s="15"/>
      <c r="C221" s="25" t="s">
        <v>532</v>
      </c>
      <c r="D221" s="25"/>
      <c r="E221" s="25"/>
      <c r="F221" s="25" t="s">
        <v>533</v>
      </c>
      <c r="G221" s="25"/>
      <c r="H221" s="25"/>
      <c r="I221" s="25" t="s">
        <v>534</v>
      </c>
      <c r="J221" s="25"/>
      <c r="K221" s="25"/>
      <c r="L221" s="25" t="s">
        <v>535</v>
      </c>
      <c r="M221" s="25"/>
      <c r="N221" s="25"/>
      <c r="O221" s="18"/>
      <c r="P221" s="27"/>
      <c r="Q221" s="29"/>
      <c r="R221" s="30"/>
      <c r="U221">
        <v>219</v>
      </c>
      <c r="V221" s="9">
        <v>1</v>
      </c>
      <c r="W221" s="46"/>
    </row>
    <row r="222" spans="2:23" ht="40" customHeight="1">
      <c r="B222" s="14">
        <v>110</v>
      </c>
      <c r="C222" s="16" t="s">
        <v>536</v>
      </c>
      <c r="D222" s="16"/>
      <c r="E222" s="16"/>
      <c r="F222" s="16"/>
      <c r="G222" s="16"/>
      <c r="H222" s="16"/>
      <c r="I222" s="16"/>
      <c r="J222" s="16"/>
      <c r="K222" s="16"/>
      <c r="L222" s="16"/>
      <c r="M222" s="16"/>
      <c r="N222" s="16"/>
      <c r="O222" s="17"/>
      <c r="P222" s="19" t="str">
        <f t="shared" ref="P222" si="198">Q222</f>
        <v>×</v>
      </c>
      <c r="Q222" s="28" t="str">
        <f t="shared" ref="Q222" si="199">IF(O222=R222,$S$3,$T$3)</f>
        <v>×</v>
      </c>
      <c r="R222" s="23" t="s">
        <v>287</v>
      </c>
      <c r="U222">
        <v>220</v>
      </c>
      <c r="V222" s="9">
        <v>2</v>
      </c>
      <c r="W222" s="46">
        <f t="shared" ref="W222" si="200">IF(O222=R222,1,0)</f>
        <v>0</v>
      </c>
    </row>
    <row r="223" spans="2:23" ht="40" customHeight="1">
      <c r="B223" s="15"/>
      <c r="C223" s="25" t="s">
        <v>537</v>
      </c>
      <c r="D223" s="25"/>
      <c r="E223" s="25"/>
      <c r="F223" s="25" t="s">
        <v>538</v>
      </c>
      <c r="G223" s="25"/>
      <c r="H223" s="25"/>
      <c r="I223" s="25" t="s">
        <v>539</v>
      </c>
      <c r="J223" s="25"/>
      <c r="K223" s="25"/>
      <c r="L223" s="25" t="s">
        <v>540</v>
      </c>
      <c r="M223" s="25"/>
      <c r="N223" s="25"/>
      <c r="O223" s="18"/>
      <c r="P223" s="27"/>
      <c r="Q223" s="29"/>
      <c r="R223" s="30"/>
      <c r="U223">
        <v>221</v>
      </c>
      <c r="V223" s="9">
        <v>1</v>
      </c>
      <c r="W223" s="46"/>
    </row>
    <row r="224" spans="2:23" ht="40" customHeight="1">
      <c r="B224" s="14">
        <v>111</v>
      </c>
      <c r="C224" s="16" t="s">
        <v>541</v>
      </c>
      <c r="D224" s="16"/>
      <c r="E224" s="16"/>
      <c r="F224" s="16"/>
      <c r="G224" s="16"/>
      <c r="H224" s="16"/>
      <c r="I224" s="16"/>
      <c r="J224" s="16"/>
      <c r="K224" s="16"/>
      <c r="L224" s="16"/>
      <c r="M224" s="16"/>
      <c r="N224" s="16"/>
      <c r="O224" s="17"/>
      <c r="P224" s="19" t="str">
        <f t="shared" ref="P224" si="201">Q224</f>
        <v>×</v>
      </c>
      <c r="Q224" s="28" t="str">
        <f t="shared" ref="Q224" si="202">IF(O224=R224,$S$3,$T$3)</f>
        <v>×</v>
      </c>
      <c r="R224" s="23" t="s">
        <v>288</v>
      </c>
      <c r="U224">
        <v>222</v>
      </c>
      <c r="V224" s="9">
        <v>2</v>
      </c>
      <c r="W224" s="46">
        <f t="shared" ref="W224" si="203">IF(O224=R224,1,0)</f>
        <v>0</v>
      </c>
    </row>
    <row r="225" spans="2:23" ht="40" customHeight="1">
      <c r="B225" s="15"/>
      <c r="C225" s="25" t="s">
        <v>542</v>
      </c>
      <c r="D225" s="25"/>
      <c r="E225" s="25"/>
      <c r="F225" s="25" t="s">
        <v>543</v>
      </c>
      <c r="G225" s="25"/>
      <c r="H225" s="25"/>
      <c r="I225" s="25" t="s">
        <v>544</v>
      </c>
      <c r="J225" s="25"/>
      <c r="K225" s="25"/>
      <c r="L225" s="25" t="s">
        <v>545</v>
      </c>
      <c r="M225" s="25"/>
      <c r="N225" s="25"/>
      <c r="O225" s="18"/>
      <c r="P225" s="27"/>
      <c r="Q225" s="29"/>
      <c r="R225" s="30"/>
      <c r="U225">
        <v>223</v>
      </c>
      <c r="V225" s="9">
        <v>1</v>
      </c>
      <c r="W225" s="46"/>
    </row>
    <row r="226" spans="2:23" ht="40" customHeight="1">
      <c r="B226" s="14">
        <v>112</v>
      </c>
      <c r="C226" s="16" t="s">
        <v>546</v>
      </c>
      <c r="D226" s="16"/>
      <c r="E226" s="16"/>
      <c r="F226" s="16"/>
      <c r="G226" s="16"/>
      <c r="H226" s="16"/>
      <c r="I226" s="16"/>
      <c r="J226" s="16"/>
      <c r="K226" s="16"/>
      <c r="L226" s="16"/>
      <c r="M226" s="16"/>
      <c r="N226" s="16"/>
      <c r="O226" s="17"/>
      <c r="P226" s="19" t="str">
        <f t="shared" ref="P226" si="204">Q226</f>
        <v>×</v>
      </c>
      <c r="Q226" s="28" t="str">
        <f t="shared" ref="Q226" si="205">IF(O226=R226,$S$3,$T$3)</f>
        <v>×</v>
      </c>
      <c r="R226" s="23" t="s">
        <v>290</v>
      </c>
      <c r="U226">
        <v>224</v>
      </c>
      <c r="V226" s="9">
        <v>2</v>
      </c>
      <c r="W226" s="46">
        <f t="shared" ref="W226" si="206">IF(O226=R226,1,0)</f>
        <v>0</v>
      </c>
    </row>
    <row r="227" spans="2:23" ht="40" customHeight="1">
      <c r="B227" s="15"/>
      <c r="C227" s="25" t="s">
        <v>547</v>
      </c>
      <c r="D227" s="25"/>
      <c r="E227" s="25"/>
      <c r="F227" s="25" t="s">
        <v>548</v>
      </c>
      <c r="G227" s="25"/>
      <c r="H227" s="25"/>
      <c r="I227" s="25" t="s">
        <v>549</v>
      </c>
      <c r="J227" s="25"/>
      <c r="K227" s="25"/>
      <c r="L227" s="25" t="s">
        <v>550</v>
      </c>
      <c r="M227" s="25"/>
      <c r="N227" s="25"/>
      <c r="O227" s="18"/>
      <c r="P227" s="27"/>
      <c r="Q227" s="29"/>
      <c r="R227" s="30"/>
      <c r="U227">
        <v>225</v>
      </c>
      <c r="V227" s="9">
        <v>1</v>
      </c>
      <c r="W227" s="46"/>
    </row>
    <row r="228" spans="2:23" ht="40" customHeight="1">
      <c r="B228" s="14">
        <v>113</v>
      </c>
      <c r="C228" s="16" t="s">
        <v>551</v>
      </c>
      <c r="D228" s="16"/>
      <c r="E228" s="16"/>
      <c r="F228" s="16"/>
      <c r="G228" s="16"/>
      <c r="H228" s="16"/>
      <c r="I228" s="16"/>
      <c r="J228" s="16"/>
      <c r="K228" s="16"/>
      <c r="L228" s="16"/>
      <c r="M228" s="16"/>
      <c r="N228" s="16"/>
      <c r="O228" s="17"/>
      <c r="P228" s="19" t="str">
        <f t="shared" ref="P228" si="207">Q228</f>
        <v>×</v>
      </c>
      <c r="Q228" s="28" t="str">
        <f t="shared" ref="Q228" si="208">IF(O228=R228,$S$3,$T$3)</f>
        <v>×</v>
      </c>
      <c r="R228" s="23" t="s">
        <v>289</v>
      </c>
      <c r="U228">
        <v>226</v>
      </c>
      <c r="V228" s="9">
        <v>2</v>
      </c>
      <c r="W228" s="46">
        <f t="shared" ref="W228" si="209">IF(O228=R228,1,0)</f>
        <v>0</v>
      </c>
    </row>
    <row r="229" spans="2:23" ht="40" customHeight="1">
      <c r="B229" s="15"/>
      <c r="C229" s="25" t="s">
        <v>552</v>
      </c>
      <c r="D229" s="25"/>
      <c r="E229" s="25"/>
      <c r="F229" s="25" t="s">
        <v>553</v>
      </c>
      <c r="G229" s="25"/>
      <c r="H229" s="25"/>
      <c r="I229" s="25" t="s">
        <v>554</v>
      </c>
      <c r="J229" s="25"/>
      <c r="K229" s="25"/>
      <c r="L229" s="25" t="s">
        <v>555</v>
      </c>
      <c r="M229" s="25"/>
      <c r="N229" s="25"/>
      <c r="O229" s="18"/>
      <c r="P229" s="27"/>
      <c r="Q229" s="29"/>
      <c r="R229" s="30"/>
      <c r="U229">
        <v>227</v>
      </c>
      <c r="V229" s="9">
        <v>1</v>
      </c>
      <c r="W229" s="46"/>
    </row>
    <row r="230" spans="2:23" ht="40" customHeight="1">
      <c r="B230" s="14">
        <v>114</v>
      </c>
      <c r="C230" s="16" t="s">
        <v>556</v>
      </c>
      <c r="D230" s="16"/>
      <c r="E230" s="16"/>
      <c r="F230" s="16"/>
      <c r="G230" s="16"/>
      <c r="H230" s="16"/>
      <c r="I230" s="16"/>
      <c r="J230" s="16"/>
      <c r="K230" s="16"/>
      <c r="L230" s="16"/>
      <c r="M230" s="16"/>
      <c r="N230" s="16"/>
      <c r="O230" s="17"/>
      <c r="P230" s="19" t="str">
        <f t="shared" ref="P230" si="210">Q230</f>
        <v>×</v>
      </c>
      <c r="Q230" s="28" t="str">
        <f t="shared" ref="Q230" si="211">IF(O230=R230,$S$3,$T$3)</f>
        <v>×</v>
      </c>
      <c r="R230" s="23" t="s">
        <v>287</v>
      </c>
      <c r="U230">
        <v>228</v>
      </c>
      <c r="V230" s="9">
        <v>2</v>
      </c>
      <c r="W230" s="46">
        <f t="shared" ref="W230" si="212">IF(O230=R230,1,0)</f>
        <v>0</v>
      </c>
    </row>
    <row r="231" spans="2:23" ht="40" customHeight="1">
      <c r="B231" s="15"/>
      <c r="C231" s="25" t="s">
        <v>557</v>
      </c>
      <c r="D231" s="25"/>
      <c r="E231" s="25"/>
      <c r="F231" s="25" t="s">
        <v>558</v>
      </c>
      <c r="G231" s="25"/>
      <c r="H231" s="25"/>
      <c r="I231" s="25" t="s">
        <v>559</v>
      </c>
      <c r="J231" s="25"/>
      <c r="K231" s="25"/>
      <c r="L231" s="25" t="s">
        <v>560</v>
      </c>
      <c r="M231" s="25"/>
      <c r="N231" s="25"/>
      <c r="O231" s="18"/>
      <c r="P231" s="27"/>
      <c r="Q231" s="29"/>
      <c r="R231" s="30"/>
      <c r="U231">
        <v>229</v>
      </c>
      <c r="V231" s="9">
        <v>1</v>
      </c>
      <c r="W231" s="46"/>
    </row>
    <row r="232" spans="2:23" ht="40" customHeight="1">
      <c r="B232" s="14">
        <v>115</v>
      </c>
      <c r="C232" s="16" t="s">
        <v>561</v>
      </c>
      <c r="D232" s="16"/>
      <c r="E232" s="16"/>
      <c r="F232" s="16"/>
      <c r="G232" s="16"/>
      <c r="H232" s="16"/>
      <c r="I232" s="16"/>
      <c r="J232" s="16"/>
      <c r="K232" s="16"/>
      <c r="L232" s="16"/>
      <c r="M232" s="16"/>
      <c r="N232" s="16"/>
      <c r="O232" s="17"/>
      <c r="P232" s="19" t="str">
        <f t="shared" ref="P232" si="213">Q232</f>
        <v>×</v>
      </c>
      <c r="Q232" s="28" t="str">
        <f t="shared" ref="Q232" si="214">IF(O232=R232,$S$3,$T$3)</f>
        <v>×</v>
      </c>
      <c r="R232" s="23" t="s">
        <v>289</v>
      </c>
      <c r="U232">
        <v>230</v>
      </c>
      <c r="V232" s="9">
        <v>2</v>
      </c>
      <c r="W232" s="46">
        <f t="shared" ref="W232" si="215">IF(O232=R232,1,0)</f>
        <v>0</v>
      </c>
    </row>
    <row r="233" spans="2:23" ht="40" customHeight="1">
      <c r="B233" s="15"/>
      <c r="C233" s="25" t="s">
        <v>562</v>
      </c>
      <c r="D233" s="25"/>
      <c r="E233" s="25"/>
      <c r="F233" s="25" t="s">
        <v>563</v>
      </c>
      <c r="G233" s="25"/>
      <c r="H233" s="25"/>
      <c r="I233" s="25" t="s">
        <v>564</v>
      </c>
      <c r="J233" s="25"/>
      <c r="K233" s="25"/>
      <c r="L233" s="25" t="s">
        <v>565</v>
      </c>
      <c r="M233" s="25"/>
      <c r="N233" s="25"/>
      <c r="O233" s="18"/>
      <c r="P233" s="27"/>
      <c r="Q233" s="29"/>
      <c r="R233" s="30"/>
      <c r="U233">
        <v>231</v>
      </c>
      <c r="V233" s="9">
        <v>1</v>
      </c>
      <c r="W233" s="46"/>
    </row>
    <row r="234" spans="2:23" ht="40" customHeight="1">
      <c r="B234" s="14">
        <v>116</v>
      </c>
      <c r="C234" s="16" t="s">
        <v>566</v>
      </c>
      <c r="D234" s="16"/>
      <c r="E234" s="16"/>
      <c r="F234" s="16"/>
      <c r="G234" s="16"/>
      <c r="H234" s="16"/>
      <c r="I234" s="16"/>
      <c r="J234" s="16"/>
      <c r="K234" s="16"/>
      <c r="L234" s="16"/>
      <c r="M234" s="16"/>
      <c r="N234" s="16"/>
      <c r="O234" s="17"/>
      <c r="P234" s="19" t="str">
        <f t="shared" ref="P234" si="216">Q234</f>
        <v>×</v>
      </c>
      <c r="Q234" s="28" t="str">
        <f t="shared" ref="Q234" si="217">IF(O234=R234,$S$3,$T$3)</f>
        <v>×</v>
      </c>
      <c r="R234" s="23" t="s">
        <v>288</v>
      </c>
      <c r="U234">
        <v>232</v>
      </c>
      <c r="V234" s="9">
        <v>2</v>
      </c>
      <c r="W234" s="46">
        <f t="shared" ref="W234" si="218">IF(O234=R234,1,0)</f>
        <v>0</v>
      </c>
    </row>
    <row r="235" spans="2:23" ht="40" customHeight="1">
      <c r="B235" s="15"/>
      <c r="C235" s="25" t="s">
        <v>567</v>
      </c>
      <c r="D235" s="25"/>
      <c r="E235" s="25"/>
      <c r="F235" s="25" t="s">
        <v>568</v>
      </c>
      <c r="G235" s="25"/>
      <c r="H235" s="25"/>
      <c r="I235" s="25" t="s">
        <v>569</v>
      </c>
      <c r="J235" s="25"/>
      <c r="K235" s="25"/>
      <c r="L235" s="25" t="s">
        <v>570</v>
      </c>
      <c r="M235" s="25"/>
      <c r="N235" s="25"/>
      <c r="O235" s="18"/>
      <c r="P235" s="27"/>
      <c r="Q235" s="29"/>
      <c r="R235" s="30"/>
      <c r="U235">
        <v>233</v>
      </c>
      <c r="V235" s="9">
        <v>1</v>
      </c>
      <c r="W235" s="46"/>
    </row>
    <row r="236" spans="2:23" ht="40" customHeight="1">
      <c r="B236" s="14">
        <v>117</v>
      </c>
      <c r="C236" s="16" t="s">
        <v>571</v>
      </c>
      <c r="D236" s="16"/>
      <c r="E236" s="16"/>
      <c r="F236" s="16"/>
      <c r="G236" s="16"/>
      <c r="H236" s="16"/>
      <c r="I236" s="16"/>
      <c r="J236" s="16"/>
      <c r="K236" s="16"/>
      <c r="L236" s="16"/>
      <c r="M236" s="16"/>
      <c r="N236" s="16"/>
      <c r="O236" s="17"/>
      <c r="P236" s="19" t="str">
        <f t="shared" ref="P236" si="219">Q236</f>
        <v>×</v>
      </c>
      <c r="Q236" s="28" t="str">
        <f t="shared" ref="Q236" si="220">IF(O236=R236,$S$3,$T$3)</f>
        <v>×</v>
      </c>
      <c r="R236" s="23" t="s">
        <v>290</v>
      </c>
      <c r="U236">
        <v>234</v>
      </c>
      <c r="V236" s="9">
        <v>2</v>
      </c>
      <c r="W236" s="46">
        <f t="shared" ref="W236" si="221">IF(O236=R236,1,0)</f>
        <v>0</v>
      </c>
    </row>
    <row r="237" spans="2:23" ht="40" customHeight="1">
      <c r="B237" s="15"/>
      <c r="C237" s="25" t="s">
        <v>572</v>
      </c>
      <c r="D237" s="25"/>
      <c r="E237" s="25"/>
      <c r="F237" s="25" t="s">
        <v>573</v>
      </c>
      <c r="G237" s="25"/>
      <c r="H237" s="25"/>
      <c r="I237" s="25" t="s">
        <v>574</v>
      </c>
      <c r="J237" s="25"/>
      <c r="K237" s="25"/>
      <c r="L237" s="25" t="s">
        <v>575</v>
      </c>
      <c r="M237" s="25"/>
      <c r="N237" s="25"/>
      <c r="O237" s="18"/>
      <c r="P237" s="27"/>
      <c r="Q237" s="29"/>
      <c r="R237" s="30"/>
      <c r="U237">
        <v>235</v>
      </c>
      <c r="V237" s="9">
        <v>1</v>
      </c>
      <c r="W237" s="46"/>
    </row>
    <row r="238" spans="2:23" ht="40" customHeight="1">
      <c r="B238" s="14">
        <v>118</v>
      </c>
      <c r="C238" s="16" t="s">
        <v>576</v>
      </c>
      <c r="D238" s="16"/>
      <c r="E238" s="16"/>
      <c r="F238" s="16"/>
      <c r="G238" s="16"/>
      <c r="H238" s="16"/>
      <c r="I238" s="16"/>
      <c r="J238" s="16"/>
      <c r="K238" s="16"/>
      <c r="L238" s="16"/>
      <c r="M238" s="16"/>
      <c r="N238" s="16"/>
      <c r="O238" s="17"/>
      <c r="P238" s="19" t="str">
        <f t="shared" ref="P238" si="222">Q238</f>
        <v>×</v>
      </c>
      <c r="Q238" s="28" t="str">
        <f t="shared" ref="Q238" si="223">IF(O238=R238,$S$3,$T$3)</f>
        <v>×</v>
      </c>
      <c r="R238" s="23" t="s">
        <v>288</v>
      </c>
      <c r="U238">
        <v>236</v>
      </c>
      <c r="V238" s="9">
        <v>2</v>
      </c>
      <c r="W238" s="46">
        <f t="shared" ref="W238" si="224">IF(O238=R238,1,0)</f>
        <v>0</v>
      </c>
    </row>
    <row r="239" spans="2:23" ht="40" customHeight="1">
      <c r="B239" s="15"/>
      <c r="C239" s="25" t="s">
        <v>577</v>
      </c>
      <c r="D239" s="25"/>
      <c r="E239" s="25"/>
      <c r="F239" s="25" t="s">
        <v>578</v>
      </c>
      <c r="G239" s="25"/>
      <c r="H239" s="25"/>
      <c r="I239" s="25" t="s">
        <v>579</v>
      </c>
      <c r="J239" s="25"/>
      <c r="K239" s="25"/>
      <c r="L239" s="25" t="s">
        <v>580</v>
      </c>
      <c r="M239" s="25"/>
      <c r="N239" s="25"/>
      <c r="O239" s="18"/>
      <c r="P239" s="27"/>
      <c r="Q239" s="29"/>
      <c r="R239" s="30"/>
      <c r="U239">
        <v>237</v>
      </c>
      <c r="V239" s="9">
        <v>1</v>
      </c>
      <c r="W239" s="46"/>
    </row>
    <row r="240" spans="2:23" ht="40" customHeight="1">
      <c r="B240" s="14">
        <v>119</v>
      </c>
      <c r="C240" s="16" t="s">
        <v>581</v>
      </c>
      <c r="D240" s="16"/>
      <c r="E240" s="16"/>
      <c r="F240" s="16"/>
      <c r="G240" s="16"/>
      <c r="H240" s="16"/>
      <c r="I240" s="16"/>
      <c r="J240" s="16"/>
      <c r="K240" s="16"/>
      <c r="L240" s="16"/>
      <c r="M240" s="16"/>
      <c r="N240" s="16"/>
      <c r="O240" s="17"/>
      <c r="P240" s="19" t="str">
        <f t="shared" ref="P240" si="225">Q240</f>
        <v>×</v>
      </c>
      <c r="Q240" s="28" t="str">
        <f t="shared" ref="Q240" si="226">IF(O240=R240,$S$3,$T$3)</f>
        <v>×</v>
      </c>
      <c r="R240" s="23" t="s">
        <v>290</v>
      </c>
      <c r="U240">
        <v>238</v>
      </c>
      <c r="V240" s="9">
        <v>2</v>
      </c>
      <c r="W240" s="46">
        <f t="shared" ref="W240" si="227">IF(O240=R240,1,0)</f>
        <v>0</v>
      </c>
    </row>
    <row r="241" spans="2:23" ht="40" customHeight="1">
      <c r="B241" s="15"/>
      <c r="C241" s="25" t="s">
        <v>582</v>
      </c>
      <c r="D241" s="25"/>
      <c r="E241" s="25"/>
      <c r="F241" s="25" t="s">
        <v>583</v>
      </c>
      <c r="G241" s="25"/>
      <c r="H241" s="25"/>
      <c r="I241" s="25" t="s">
        <v>584</v>
      </c>
      <c r="J241" s="25"/>
      <c r="K241" s="25"/>
      <c r="L241" s="25" t="s">
        <v>585</v>
      </c>
      <c r="M241" s="25"/>
      <c r="N241" s="25"/>
      <c r="O241" s="18"/>
      <c r="P241" s="27"/>
      <c r="Q241" s="29"/>
      <c r="R241" s="30"/>
      <c r="U241">
        <v>239</v>
      </c>
      <c r="V241" s="9">
        <v>1</v>
      </c>
      <c r="W241" s="46"/>
    </row>
    <row r="242" spans="2:23" ht="40" customHeight="1">
      <c r="B242" s="14">
        <v>120</v>
      </c>
      <c r="C242" s="16" t="s">
        <v>586</v>
      </c>
      <c r="D242" s="16"/>
      <c r="E242" s="16"/>
      <c r="F242" s="16"/>
      <c r="G242" s="16"/>
      <c r="H242" s="16"/>
      <c r="I242" s="16"/>
      <c r="J242" s="16"/>
      <c r="K242" s="16"/>
      <c r="L242" s="16"/>
      <c r="M242" s="16"/>
      <c r="N242" s="16"/>
      <c r="O242" s="17"/>
      <c r="P242" s="19" t="str">
        <f t="shared" ref="P242" si="228">Q242</f>
        <v>×</v>
      </c>
      <c r="Q242" s="28" t="str">
        <f t="shared" ref="Q242" si="229">IF(O242=R242,$S$3,$T$3)</f>
        <v>×</v>
      </c>
      <c r="R242" s="23" t="s">
        <v>289</v>
      </c>
      <c r="U242">
        <v>240</v>
      </c>
      <c r="V242" s="9">
        <v>2</v>
      </c>
      <c r="W242" s="46">
        <f t="shared" ref="W242" si="230">IF(O242=R242,1,0)</f>
        <v>0</v>
      </c>
    </row>
    <row r="243" spans="2:23" ht="40" customHeight="1">
      <c r="B243" s="15"/>
      <c r="C243" s="25" t="s">
        <v>587</v>
      </c>
      <c r="D243" s="25"/>
      <c r="E243" s="25"/>
      <c r="F243" s="25" t="s">
        <v>588</v>
      </c>
      <c r="G243" s="25"/>
      <c r="H243" s="25"/>
      <c r="I243" s="25" t="s">
        <v>589</v>
      </c>
      <c r="J243" s="25"/>
      <c r="K243" s="25"/>
      <c r="L243" s="25" t="s">
        <v>590</v>
      </c>
      <c r="M243" s="25"/>
      <c r="N243" s="25"/>
      <c r="O243" s="18"/>
      <c r="P243" s="27"/>
      <c r="Q243" s="29"/>
      <c r="R243" s="30"/>
      <c r="U243">
        <v>241</v>
      </c>
      <c r="V243" s="9">
        <v>1</v>
      </c>
      <c r="W243" s="46"/>
    </row>
    <row r="244" spans="2:23" ht="40" customHeight="1">
      <c r="B244" s="14">
        <v>121</v>
      </c>
      <c r="C244" s="16" t="s">
        <v>591</v>
      </c>
      <c r="D244" s="16"/>
      <c r="E244" s="16"/>
      <c r="F244" s="16"/>
      <c r="G244" s="16"/>
      <c r="H244" s="16"/>
      <c r="I244" s="16"/>
      <c r="J244" s="16"/>
      <c r="K244" s="16"/>
      <c r="L244" s="16"/>
      <c r="M244" s="16"/>
      <c r="N244" s="16"/>
      <c r="O244" s="17"/>
      <c r="P244" s="19" t="str">
        <f t="shared" ref="P244" si="231">Q244</f>
        <v>×</v>
      </c>
      <c r="Q244" s="28" t="str">
        <f t="shared" ref="Q244" si="232">IF(O244=R244,$S$3,$T$3)</f>
        <v>×</v>
      </c>
      <c r="R244" s="23" t="s">
        <v>290</v>
      </c>
      <c r="U244">
        <v>242</v>
      </c>
      <c r="V244" s="9">
        <v>2</v>
      </c>
      <c r="W244" s="46">
        <f t="shared" ref="W244" si="233">IF(O244=R244,1,0)</f>
        <v>0</v>
      </c>
    </row>
    <row r="245" spans="2:23" ht="40" customHeight="1">
      <c r="B245" s="15"/>
      <c r="C245" s="25" t="s">
        <v>592</v>
      </c>
      <c r="D245" s="25"/>
      <c r="E245" s="25"/>
      <c r="F245" s="25" t="s">
        <v>593</v>
      </c>
      <c r="G245" s="25"/>
      <c r="H245" s="25"/>
      <c r="I245" s="25" t="s">
        <v>594</v>
      </c>
      <c r="J245" s="25"/>
      <c r="K245" s="25"/>
      <c r="L245" s="25" t="s">
        <v>595</v>
      </c>
      <c r="M245" s="25"/>
      <c r="N245" s="25"/>
      <c r="O245" s="18"/>
      <c r="P245" s="27"/>
      <c r="Q245" s="29"/>
      <c r="R245" s="30"/>
      <c r="U245">
        <v>243</v>
      </c>
      <c r="V245" s="9">
        <v>1</v>
      </c>
      <c r="W245" s="46"/>
    </row>
    <row r="246" spans="2:23" ht="40" customHeight="1">
      <c r="B246" s="14">
        <v>122</v>
      </c>
      <c r="C246" s="16" t="s">
        <v>596</v>
      </c>
      <c r="D246" s="16"/>
      <c r="E246" s="16"/>
      <c r="F246" s="16"/>
      <c r="G246" s="16"/>
      <c r="H246" s="16"/>
      <c r="I246" s="16"/>
      <c r="J246" s="16"/>
      <c r="K246" s="16"/>
      <c r="L246" s="16"/>
      <c r="M246" s="16"/>
      <c r="N246" s="16"/>
      <c r="O246" s="17"/>
      <c r="P246" s="19" t="str">
        <f t="shared" ref="P246" si="234">Q246</f>
        <v>×</v>
      </c>
      <c r="Q246" s="28" t="str">
        <f t="shared" ref="Q246" si="235">IF(O246=R246,$S$3,$T$3)</f>
        <v>×</v>
      </c>
      <c r="R246" s="23" t="s">
        <v>287</v>
      </c>
      <c r="U246">
        <v>244</v>
      </c>
      <c r="V246" s="9">
        <v>2</v>
      </c>
      <c r="W246" s="46">
        <f t="shared" ref="W246" si="236">IF(O246=R246,1,0)</f>
        <v>0</v>
      </c>
    </row>
    <row r="247" spans="2:23" ht="40" customHeight="1">
      <c r="B247" s="15"/>
      <c r="C247" s="25" t="s">
        <v>597</v>
      </c>
      <c r="D247" s="25"/>
      <c r="E247" s="25"/>
      <c r="F247" s="25" t="s">
        <v>598</v>
      </c>
      <c r="G247" s="25"/>
      <c r="H247" s="25"/>
      <c r="I247" s="25" t="s">
        <v>599</v>
      </c>
      <c r="J247" s="25"/>
      <c r="K247" s="25"/>
      <c r="L247" s="25" t="s">
        <v>600</v>
      </c>
      <c r="M247" s="25"/>
      <c r="N247" s="25"/>
      <c r="O247" s="18"/>
      <c r="P247" s="27"/>
      <c r="Q247" s="29"/>
      <c r="R247" s="30"/>
      <c r="U247">
        <v>245</v>
      </c>
      <c r="V247" s="9">
        <v>1</v>
      </c>
      <c r="W247" s="46"/>
    </row>
    <row r="248" spans="2:23" ht="40" customHeight="1">
      <c r="B248" s="14">
        <v>123</v>
      </c>
      <c r="C248" s="16" t="s">
        <v>601</v>
      </c>
      <c r="D248" s="16"/>
      <c r="E248" s="16"/>
      <c r="F248" s="16"/>
      <c r="G248" s="16"/>
      <c r="H248" s="16"/>
      <c r="I248" s="16"/>
      <c r="J248" s="16"/>
      <c r="K248" s="16"/>
      <c r="L248" s="16"/>
      <c r="M248" s="16"/>
      <c r="N248" s="16"/>
      <c r="O248" s="17"/>
      <c r="P248" s="19" t="str">
        <f t="shared" ref="P248" si="237">Q248</f>
        <v>×</v>
      </c>
      <c r="Q248" s="28" t="str">
        <f t="shared" ref="Q248" si="238">IF(O248=R248,$S$3,$T$3)</f>
        <v>×</v>
      </c>
      <c r="R248" s="23" t="s">
        <v>289</v>
      </c>
      <c r="U248">
        <v>246</v>
      </c>
      <c r="V248" s="9">
        <v>2</v>
      </c>
      <c r="W248" s="46">
        <f t="shared" ref="W248" si="239">IF(O248=R248,1,0)</f>
        <v>0</v>
      </c>
    </row>
    <row r="249" spans="2:23" ht="40" customHeight="1">
      <c r="B249" s="15"/>
      <c r="C249" s="25" t="s">
        <v>602</v>
      </c>
      <c r="D249" s="25"/>
      <c r="E249" s="25"/>
      <c r="F249" s="25" t="s">
        <v>603</v>
      </c>
      <c r="G249" s="25"/>
      <c r="H249" s="25"/>
      <c r="I249" s="25" t="s">
        <v>604</v>
      </c>
      <c r="J249" s="25"/>
      <c r="K249" s="25"/>
      <c r="L249" s="25" t="s">
        <v>605</v>
      </c>
      <c r="M249" s="25"/>
      <c r="N249" s="25"/>
      <c r="O249" s="18"/>
      <c r="P249" s="27"/>
      <c r="Q249" s="29"/>
      <c r="R249" s="30"/>
      <c r="U249">
        <v>247</v>
      </c>
      <c r="V249" s="9">
        <v>1</v>
      </c>
      <c r="W249" s="46"/>
    </row>
    <row r="250" spans="2:23" ht="40" customHeight="1">
      <c r="B250" s="14">
        <v>124</v>
      </c>
      <c r="C250" s="16" t="s">
        <v>606</v>
      </c>
      <c r="D250" s="16"/>
      <c r="E250" s="16"/>
      <c r="F250" s="16"/>
      <c r="G250" s="16"/>
      <c r="H250" s="16"/>
      <c r="I250" s="16"/>
      <c r="J250" s="16"/>
      <c r="K250" s="16"/>
      <c r="L250" s="16"/>
      <c r="M250" s="16"/>
      <c r="N250" s="16"/>
      <c r="O250" s="17"/>
      <c r="P250" s="19" t="str">
        <f t="shared" ref="P250" si="240">Q250</f>
        <v>×</v>
      </c>
      <c r="Q250" s="28" t="str">
        <f t="shared" ref="Q250" si="241">IF(O250=R250,$S$3,$T$3)</f>
        <v>×</v>
      </c>
      <c r="R250" s="23" t="s">
        <v>288</v>
      </c>
      <c r="U250">
        <v>248</v>
      </c>
      <c r="V250" s="9">
        <v>2</v>
      </c>
      <c r="W250" s="46">
        <f t="shared" ref="W250" si="242">IF(O250=R250,1,0)</f>
        <v>0</v>
      </c>
    </row>
    <row r="251" spans="2:23" ht="40" customHeight="1">
      <c r="B251" s="15"/>
      <c r="C251" s="25" t="s">
        <v>607</v>
      </c>
      <c r="D251" s="25"/>
      <c r="E251" s="25"/>
      <c r="F251" s="25" t="s">
        <v>608</v>
      </c>
      <c r="G251" s="25"/>
      <c r="H251" s="25"/>
      <c r="I251" s="25" t="s">
        <v>609</v>
      </c>
      <c r="J251" s="25"/>
      <c r="K251" s="25"/>
      <c r="L251" s="25" t="s">
        <v>610</v>
      </c>
      <c r="M251" s="25"/>
      <c r="N251" s="25"/>
      <c r="O251" s="18"/>
      <c r="P251" s="27"/>
      <c r="Q251" s="29"/>
      <c r="R251" s="30"/>
      <c r="U251">
        <v>249</v>
      </c>
      <c r="V251" s="9">
        <v>1</v>
      </c>
      <c r="W251" s="46"/>
    </row>
    <row r="252" spans="2:23" ht="40" customHeight="1">
      <c r="B252" s="14">
        <v>125</v>
      </c>
      <c r="C252" s="16" t="s">
        <v>611</v>
      </c>
      <c r="D252" s="16"/>
      <c r="E252" s="16"/>
      <c r="F252" s="16"/>
      <c r="G252" s="16"/>
      <c r="H252" s="16"/>
      <c r="I252" s="16"/>
      <c r="J252" s="16"/>
      <c r="K252" s="16"/>
      <c r="L252" s="16"/>
      <c r="M252" s="16"/>
      <c r="N252" s="16"/>
      <c r="O252" s="17"/>
      <c r="P252" s="19" t="str">
        <f t="shared" ref="P252" si="243">Q252</f>
        <v>×</v>
      </c>
      <c r="Q252" s="28" t="str">
        <f t="shared" ref="Q252" si="244">IF(O252=R252,$S$3,$T$3)</f>
        <v>×</v>
      </c>
      <c r="R252" s="23" t="s">
        <v>287</v>
      </c>
      <c r="U252">
        <v>250</v>
      </c>
      <c r="V252" s="9">
        <v>2</v>
      </c>
      <c r="W252" s="46">
        <f t="shared" ref="W252" si="245">IF(O252=R252,1,0)</f>
        <v>0</v>
      </c>
    </row>
    <row r="253" spans="2:23" ht="40" customHeight="1">
      <c r="B253" s="15"/>
      <c r="C253" s="25" t="s">
        <v>612</v>
      </c>
      <c r="D253" s="25"/>
      <c r="E253" s="25"/>
      <c r="F253" s="25" t="s">
        <v>613</v>
      </c>
      <c r="G253" s="25"/>
      <c r="H253" s="25"/>
      <c r="I253" s="25" t="s">
        <v>614</v>
      </c>
      <c r="J253" s="25"/>
      <c r="K253" s="25"/>
      <c r="L253" s="25" t="s">
        <v>615</v>
      </c>
      <c r="M253" s="25"/>
      <c r="N253" s="25"/>
      <c r="O253" s="18"/>
      <c r="P253" s="27"/>
      <c r="Q253" s="29"/>
      <c r="R253" s="30"/>
      <c r="U253">
        <v>251</v>
      </c>
      <c r="V253" s="9">
        <v>1</v>
      </c>
      <c r="W253" s="46"/>
    </row>
    <row r="254" spans="2:23" ht="40" customHeight="1">
      <c r="B254" s="14">
        <v>126</v>
      </c>
      <c r="C254" s="16" t="s">
        <v>616</v>
      </c>
      <c r="D254" s="16"/>
      <c r="E254" s="16"/>
      <c r="F254" s="16"/>
      <c r="G254" s="16"/>
      <c r="H254" s="16"/>
      <c r="I254" s="16"/>
      <c r="J254" s="16"/>
      <c r="K254" s="16"/>
      <c r="L254" s="16"/>
      <c r="M254" s="16"/>
      <c r="N254" s="16"/>
      <c r="O254" s="17"/>
      <c r="P254" s="19" t="str">
        <f t="shared" ref="P254" si="246">Q254</f>
        <v>×</v>
      </c>
      <c r="Q254" s="28" t="str">
        <f t="shared" ref="Q254" si="247">IF(O254=R254,$S$3,$T$3)</f>
        <v>×</v>
      </c>
      <c r="R254" s="23" t="s">
        <v>289</v>
      </c>
      <c r="U254">
        <v>252</v>
      </c>
      <c r="V254" s="9">
        <v>2</v>
      </c>
      <c r="W254" s="46">
        <f t="shared" ref="W254" si="248">IF(O254=R254,1,0)</f>
        <v>0</v>
      </c>
    </row>
    <row r="255" spans="2:23" ht="40" customHeight="1">
      <c r="B255" s="15"/>
      <c r="C255" s="25" t="s">
        <v>617</v>
      </c>
      <c r="D255" s="25"/>
      <c r="E255" s="25"/>
      <c r="F255" s="25" t="s">
        <v>618</v>
      </c>
      <c r="G255" s="25"/>
      <c r="H255" s="25"/>
      <c r="I255" s="25" t="s">
        <v>619</v>
      </c>
      <c r="J255" s="25"/>
      <c r="K255" s="25"/>
      <c r="L255" s="25" t="s">
        <v>620</v>
      </c>
      <c r="M255" s="25"/>
      <c r="N255" s="25"/>
      <c r="O255" s="18"/>
      <c r="P255" s="27"/>
      <c r="Q255" s="29"/>
      <c r="R255" s="30"/>
      <c r="U255">
        <v>253</v>
      </c>
      <c r="V255" s="9">
        <v>1</v>
      </c>
      <c r="W255" s="46"/>
    </row>
    <row r="256" spans="2:23" ht="40" customHeight="1">
      <c r="B256" s="14">
        <v>127</v>
      </c>
      <c r="C256" s="16" t="s">
        <v>621</v>
      </c>
      <c r="D256" s="16"/>
      <c r="E256" s="16"/>
      <c r="F256" s="16"/>
      <c r="G256" s="16"/>
      <c r="H256" s="16"/>
      <c r="I256" s="16"/>
      <c r="J256" s="16"/>
      <c r="K256" s="16"/>
      <c r="L256" s="16"/>
      <c r="M256" s="16"/>
      <c r="N256" s="16"/>
      <c r="O256" s="17"/>
      <c r="P256" s="19" t="str">
        <f t="shared" ref="P256" si="249">Q256</f>
        <v>×</v>
      </c>
      <c r="Q256" s="28" t="str">
        <f t="shared" ref="Q256" si="250">IF(O256=R256,$S$3,$T$3)</f>
        <v>×</v>
      </c>
      <c r="R256" s="23" t="s">
        <v>287</v>
      </c>
      <c r="U256">
        <v>254</v>
      </c>
      <c r="V256" s="9">
        <v>2</v>
      </c>
      <c r="W256" s="46">
        <f t="shared" ref="W256" si="251">IF(O256=R256,1,0)</f>
        <v>0</v>
      </c>
    </row>
    <row r="257" spans="2:23" ht="40" customHeight="1">
      <c r="B257" s="15"/>
      <c r="C257" s="25" t="s">
        <v>622</v>
      </c>
      <c r="D257" s="25"/>
      <c r="E257" s="25"/>
      <c r="F257" s="25" t="s">
        <v>623</v>
      </c>
      <c r="G257" s="25"/>
      <c r="H257" s="25"/>
      <c r="I257" s="25" t="s">
        <v>624</v>
      </c>
      <c r="J257" s="25"/>
      <c r="K257" s="25"/>
      <c r="L257" s="25" t="s">
        <v>625</v>
      </c>
      <c r="M257" s="25"/>
      <c r="N257" s="25"/>
      <c r="O257" s="18"/>
      <c r="P257" s="27"/>
      <c r="Q257" s="29"/>
      <c r="R257" s="30"/>
      <c r="U257">
        <v>255</v>
      </c>
      <c r="V257" s="9">
        <v>1</v>
      </c>
      <c r="W257" s="46"/>
    </row>
    <row r="258" spans="2:23" ht="40" customHeight="1">
      <c r="B258" s="14">
        <v>128</v>
      </c>
      <c r="C258" s="16" t="s">
        <v>626</v>
      </c>
      <c r="D258" s="16"/>
      <c r="E258" s="16"/>
      <c r="F258" s="16"/>
      <c r="G258" s="16"/>
      <c r="H258" s="16"/>
      <c r="I258" s="16"/>
      <c r="J258" s="16"/>
      <c r="K258" s="16"/>
      <c r="L258" s="16"/>
      <c r="M258" s="16"/>
      <c r="N258" s="16"/>
      <c r="O258" s="17"/>
      <c r="P258" s="19" t="str">
        <f t="shared" ref="P258" si="252">Q258</f>
        <v>×</v>
      </c>
      <c r="Q258" s="28" t="str">
        <f t="shared" ref="Q258" si="253">IF(O258=R258,$S$3,$T$3)</f>
        <v>×</v>
      </c>
      <c r="R258" s="23" t="s">
        <v>289</v>
      </c>
      <c r="U258">
        <v>256</v>
      </c>
      <c r="V258" s="9">
        <v>2</v>
      </c>
      <c r="W258" s="46">
        <f t="shared" ref="W258" si="254">IF(O258=R258,1,0)</f>
        <v>0</v>
      </c>
    </row>
    <row r="259" spans="2:23" ht="40" customHeight="1">
      <c r="B259" s="15"/>
      <c r="C259" s="25" t="s">
        <v>627</v>
      </c>
      <c r="D259" s="25"/>
      <c r="E259" s="25"/>
      <c r="F259" s="25" t="s">
        <v>628</v>
      </c>
      <c r="G259" s="25"/>
      <c r="H259" s="25"/>
      <c r="I259" s="25" t="s">
        <v>629</v>
      </c>
      <c r="J259" s="25"/>
      <c r="K259" s="25"/>
      <c r="L259" s="25" t="s">
        <v>630</v>
      </c>
      <c r="M259" s="25"/>
      <c r="N259" s="25"/>
      <c r="O259" s="18"/>
      <c r="P259" s="27"/>
      <c r="Q259" s="29"/>
      <c r="R259" s="30"/>
      <c r="U259">
        <v>257</v>
      </c>
      <c r="V259" s="9">
        <v>1</v>
      </c>
      <c r="W259" s="46"/>
    </row>
    <row r="260" spans="2:23" ht="40" customHeight="1">
      <c r="B260" s="14">
        <v>129</v>
      </c>
      <c r="C260" s="16" t="s">
        <v>631</v>
      </c>
      <c r="D260" s="16"/>
      <c r="E260" s="16"/>
      <c r="F260" s="16"/>
      <c r="G260" s="16"/>
      <c r="H260" s="16"/>
      <c r="I260" s="16"/>
      <c r="J260" s="16"/>
      <c r="K260" s="16"/>
      <c r="L260" s="16"/>
      <c r="M260" s="16"/>
      <c r="N260" s="16"/>
      <c r="O260" s="17"/>
      <c r="P260" s="19" t="str">
        <f t="shared" ref="P260" si="255">Q260</f>
        <v>×</v>
      </c>
      <c r="Q260" s="28" t="str">
        <f t="shared" ref="Q260" si="256">IF(O260=R260,$S$3,$T$3)</f>
        <v>×</v>
      </c>
      <c r="R260" s="23" t="s">
        <v>287</v>
      </c>
      <c r="U260">
        <v>258</v>
      </c>
      <c r="V260" s="9">
        <v>2</v>
      </c>
      <c r="W260" s="46">
        <f t="shared" ref="W260" si="257">IF(O260=R260,1,0)</f>
        <v>0</v>
      </c>
    </row>
    <row r="261" spans="2:23" ht="40" customHeight="1">
      <c r="B261" s="15"/>
      <c r="C261" s="25" t="s">
        <v>632</v>
      </c>
      <c r="D261" s="25"/>
      <c r="E261" s="25"/>
      <c r="F261" s="25" t="s">
        <v>633</v>
      </c>
      <c r="G261" s="25"/>
      <c r="H261" s="25"/>
      <c r="I261" s="25" t="s">
        <v>634</v>
      </c>
      <c r="J261" s="25"/>
      <c r="K261" s="25"/>
      <c r="L261" s="25" t="s">
        <v>635</v>
      </c>
      <c r="M261" s="25"/>
      <c r="N261" s="25"/>
      <c r="O261" s="18"/>
      <c r="P261" s="27"/>
      <c r="Q261" s="29"/>
      <c r="R261" s="30"/>
      <c r="U261">
        <v>259</v>
      </c>
      <c r="V261" s="9">
        <v>1</v>
      </c>
      <c r="W261" s="46"/>
    </row>
    <row r="262" spans="2:23" ht="40" customHeight="1">
      <c r="B262" s="14">
        <v>130</v>
      </c>
      <c r="C262" s="16" t="s">
        <v>636</v>
      </c>
      <c r="D262" s="16"/>
      <c r="E262" s="16"/>
      <c r="F262" s="16"/>
      <c r="G262" s="16"/>
      <c r="H262" s="16"/>
      <c r="I262" s="16"/>
      <c r="J262" s="16"/>
      <c r="K262" s="16"/>
      <c r="L262" s="16"/>
      <c r="M262" s="16"/>
      <c r="N262" s="16"/>
      <c r="O262" s="17"/>
      <c r="P262" s="19" t="str">
        <f t="shared" ref="P262" si="258">Q262</f>
        <v>×</v>
      </c>
      <c r="Q262" s="28" t="str">
        <f t="shared" ref="Q262" si="259">IF(O262=R262,$S$3,$T$3)</f>
        <v>×</v>
      </c>
      <c r="R262" s="23" t="s">
        <v>290</v>
      </c>
      <c r="U262">
        <v>260</v>
      </c>
      <c r="V262" s="9">
        <v>2</v>
      </c>
      <c r="W262" s="46">
        <f t="shared" ref="W262" si="260">IF(O262=R262,1,0)</f>
        <v>0</v>
      </c>
    </row>
    <row r="263" spans="2:23" ht="40" customHeight="1">
      <c r="B263" s="15"/>
      <c r="C263" s="25" t="s">
        <v>159</v>
      </c>
      <c r="D263" s="25"/>
      <c r="E263" s="25"/>
      <c r="F263" s="25" t="s">
        <v>637</v>
      </c>
      <c r="G263" s="25"/>
      <c r="H263" s="25"/>
      <c r="I263" s="25" t="s">
        <v>638</v>
      </c>
      <c r="J263" s="25"/>
      <c r="K263" s="25"/>
      <c r="L263" s="25" t="s">
        <v>495</v>
      </c>
      <c r="M263" s="25"/>
      <c r="N263" s="25"/>
      <c r="O263" s="18"/>
      <c r="P263" s="27"/>
      <c r="Q263" s="29"/>
      <c r="R263" s="30"/>
      <c r="U263">
        <v>261</v>
      </c>
      <c r="V263" s="9">
        <v>1</v>
      </c>
      <c r="W263" s="46"/>
    </row>
    <row r="264" spans="2:23" ht="40" customHeight="1">
      <c r="B264" s="14">
        <v>131</v>
      </c>
      <c r="C264" s="16" t="s">
        <v>639</v>
      </c>
      <c r="D264" s="16"/>
      <c r="E264" s="16"/>
      <c r="F264" s="16"/>
      <c r="G264" s="16"/>
      <c r="H264" s="16"/>
      <c r="I264" s="16"/>
      <c r="J264" s="16"/>
      <c r="K264" s="16"/>
      <c r="L264" s="16"/>
      <c r="M264" s="16"/>
      <c r="N264" s="16"/>
      <c r="O264" s="17"/>
      <c r="P264" s="19" t="str">
        <f t="shared" ref="P264" si="261">Q264</f>
        <v>×</v>
      </c>
      <c r="Q264" s="28" t="str">
        <f t="shared" ref="Q264" si="262">IF(O264=R264,$S$3,$T$3)</f>
        <v>×</v>
      </c>
      <c r="R264" s="23" t="s">
        <v>289</v>
      </c>
      <c r="U264">
        <v>262</v>
      </c>
      <c r="V264" s="9">
        <v>2</v>
      </c>
      <c r="W264" s="46">
        <f t="shared" ref="W264" si="263">IF(O264=R264,1,0)</f>
        <v>0</v>
      </c>
    </row>
    <row r="265" spans="2:23" ht="40" customHeight="1">
      <c r="B265" s="15"/>
      <c r="C265" s="25" t="s">
        <v>640</v>
      </c>
      <c r="D265" s="25"/>
      <c r="E265" s="25"/>
      <c r="F265" s="25" t="s">
        <v>641</v>
      </c>
      <c r="G265" s="25"/>
      <c r="H265" s="25"/>
      <c r="I265" s="25" t="s">
        <v>642</v>
      </c>
      <c r="J265" s="25"/>
      <c r="K265" s="25"/>
      <c r="L265" s="25" t="s">
        <v>643</v>
      </c>
      <c r="M265" s="25"/>
      <c r="N265" s="25"/>
      <c r="O265" s="18"/>
      <c r="P265" s="27"/>
      <c r="Q265" s="29"/>
      <c r="R265" s="30"/>
      <c r="U265">
        <v>263</v>
      </c>
      <c r="V265" s="9">
        <v>1</v>
      </c>
      <c r="W265" s="46"/>
    </row>
    <row r="266" spans="2:23" ht="40" customHeight="1">
      <c r="B266" s="14">
        <v>132</v>
      </c>
      <c r="C266" s="16" t="s">
        <v>644</v>
      </c>
      <c r="D266" s="16"/>
      <c r="E266" s="16"/>
      <c r="F266" s="16"/>
      <c r="G266" s="16"/>
      <c r="H266" s="16"/>
      <c r="I266" s="16"/>
      <c r="J266" s="16"/>
      <c r="K266" s="16"/>
      <c r="L266" s="16"/>
      <c r="M266" s="16"/>
      <c r="N266" s="16"/>
      <c r="O266" s="17"/>
      <c r="P266" s="19" t="str">
        <f t="shared" ref="P266" si="264">Q266</f>
        <v>×</v>
      </c>
      <c r="Q266" s="28" t="str">
        <f t="shared" ref="Q266" si="265">IF(O266=R266,$S$3,$T$3)</f>
        <v>×</v>
      </c>
      <c r="R266" s="23" t="s">
        <v>290</v>
      </c>
      <c r="U266">
        <v>264</v>
      </c>
      <c r="V266" s="9">
        <v>2</v>
      </c>
      <c r="W266" s="46">
        <f t="shared" ref="W266" si="266">IF(O266=R266,1,0)</f>
        <v>0</v>
      </c>
    </row>
    <row r="267" spans="2:23" ht="40" customHeight="1">
      <c r="B267" s="15"/>
      <c r="C267" s="25" t="s">
        <v>645</v>
      </c>
      <c r="D267" s="25"/>
      <c r="E267" s="25"/>
      <c r="F267" s="25" t="s">
        <v>646</v>
      </c>
      <c r="G267" s="25"/>
      <c r="H267" s="25"/>
      <c r="I267" s="25" t="s">
        <v>647</v>
      </c>
      <c r="J267" s="25"/>
      <c r="K267" s="25"/>
      <c r="L267" s="25" t="s">
        <v>162</v>
      </c>
      <c r="M267" s="25"/>
      <c r="N267" s="25"/>
      <c r="O267" s="18"/>
      <c r="P267" s="27"/>
      <c r="Q267" s="29"/>
      <c r="R267" s="30"/>
      <c r="U267">
        <v>265</v>
      </c>
      <c r="V267" s="9">
        <v>1</v>
      </c>
      <c r="W267" s="46"/>
    </row>
    <row r="268" spans="2:23" ht="40" customHeight="1">
      <c r="B268" s="14">
        <v>133</v>
      </c>
      <c r="C268" s="16" t="s">
        <v>648</v>
      </c>
      <c r="D268" s="16"/>
      <c r="E268" s="16"/>
      <c r="F268" s="16"/>
      <c r="G268" s="16"/>
      <c r="H268" s="16"/>
      <c r="I268" s="16"/>
      <c r="J268" s="16"/>
      <c r="K268" s="16"/>
      <c r="L268" s="16"/>
      <c r="M268" s="16"/>
      <c r="N268" s="16"/>
      <c r="O268" s="17"/>
      <c r="P268" s="19" t="str">
        <f t="shared" ref="P268" si="267">Q268</f>
        <v>×</v>
      </c>
      <c r="Q268" s="28" t="str">
        <f t="shared" ref="Q268" si="268">IF(O268=R268,$S$3,$T$3)</f>
        <v>×</v>
      </c>
      <c r="R268" s="23" t="s">
        <v>289</v>
      </c>
      <c r="U268">
        <v>266</v>
      </c>
      <c r="V268" s="9">
        <v>2</v>
      </c>
      <c r="W268" s="46">
        <f t="shared" ref="W268" si="269">IF(O268=R268,1,0)</f>
        <v>0</v>
      </c>
    </row>
    <row r="269" spans="2:23" ht="40" customHeight="1">
      <c r="B269" s="15"/>
      <c r="C269" s="25" t="s">
        <v>649</v>
      </c>
      <c r="D269" s="25"/>
      <c r="E269" s="25"/>
      <c r="F269" s="25" t="s">
        <v>650</v>
      </c>
      <c r="G269" s="25"/>
      <c r="H269" s="25"/>
      <c r="I269" s="25" t="s">
        <v>651</v>
      </c>
      <c r="J269" s="25"/>
      <c r="K269" s="25"/>
      <c r="L269" s="25" t="s">
        <v>652</v>
      </c>
      <c r="M269" s="25"/>
      <c r="N269" s="25"/>
      <c r="O269" s="18"/>
      <c r="P269" s="27"/>
      <c r="Q269" s="29"/>
      <c r="R269" s="30"/>
      <c r="U269">
        <v>267</v>
      </c>
      <c r="V269" s="9">
        <v>1</v>
      </c>
      <c r="W269" s="46"/>
    </row>
    <row r="270" spans="2:23" ht="40" customHeight="1">
      <c r="B270" s="14">
        <v>134</v>
      </c>
      <c r="C270" s="16" t="s">
        <v>653</v>
      </c>
      <c r="D270" s="16"/>
      <c r="E270" s="16"/>
      <c r="F270" s="16"/>
      <c r="G270" s="16"/>
      <c r="H270" s="16"/>
      <c r="I270" s="16"/>
      <c r="J270" s="16"/>
      <c r="K270" s="16"/>
      <c r="L270" s="16"/>
      <c r="M270" s="16"/>
      <c r="N270" s="16"/>
      <c r="O270" s="17"/>
      <c r="P270" s="19" t="str">
        <f t="shared" ref="P270" si="270">Q270</f>
        <v>×</v>
      </c>
      <c r="Q270" s="28" t="str">
        <f t="shared" ref="Q270" si="271">IF(O270=R270,$S$3,$T$3)</f>
        <v>×</v>
      </c>
      <c r="R270" s="23" t="s">
        <v>288</v>
      </c>
      <c r="U270">
        <v>268</v>
      </c>
      <c r="V270" s="9">
        <v>2</v>
      </c>
      <c r="W270" s="46">
        <f t="shared" ref="W270" si="272">IF(O270=R270,1,0)</f>
        <v>0</v>
      </c>
    </row>
    <row r="271" spans="2:23" ht="40" customHeight="1">
      <c r="B271" s="15"/>
      <c r="C271" s="25" t="s">
        <v>654</v>
      </c>
      <c r="D271" s="25"/>
      <c r="E271" s="25"/>
      <c r="F271" s="25" t="s">
        <v>655</v>
      </c>
      <c r="G271" s="25"/>
      <c r="H271" s="25"/>
      <c r="I271" s="25" t="s">
        <v>656</v>
      </c>
      <c r="J271" s="25"/>
      <c r="K271" s="25"/>
      <c r="L271" s="25" t="s">
        <v>657</v>
      </c>
      <c r="M271" s="25"/>
      <c r="N271" s="25"/>
      <c r="O271" s="18"/>
      <c r="P271" s="27"/>
      <c r="Q271" s="29"/>
      <c r="R271" s="30"/>
      <c r="U271">
        <v>269</v>
      </c>
      <c r="V271" s="9">
        <v>1</v>
      </c>
      <c r="W271" s="46"/>
    </row>
    <row r="272" spans="2:23" ht="40" customHeight="1">
      <c r="B272" s="14">
        <v>135</v>
      </c>
      <c r="C272" s="16" t="s">
        <v>658</v>
      </c>
      <c r="D272" s="16"/>
      <c r="E272" s="16"/>
      <c r="F272" s="16"/>
      <c r="G272" s="16"/>
      <c r="H272" s="16"/>
      <c r="I272" s="16"/>
      <c r="J272" s="16"/>
      <c r="K272" s="16"/>
      <c r="L272" s="16"/>
      <c r="M272" s="16"/>
      <c r="N272" s="16"/>
      <c r="O272" s="17"/>
      <c r="P272" s="19" t="str">
        <f t="shared" ref="P272" si="273">Q272</f>
        <v>×</v>
      </c>
      <c r="Q272" s="28" t="str">
        <f t="shared" ref="Q272" si="274">IF(O272=R272,$S$3,$T$3)</f>
        <v>×</v>
      </c>
      <c r="R272" s="23" t="s">
        <v>287</v>
      </c>
      <c r="U272">
        <v>270</v>
      </c>
      <c r="V272" s="9">
        <v>2</v>
      </c>
      <c r="W272" s="46">
        <f t="shared" ref="W272" si="275">IF(O272=R272,1,0)</f>
        <v>0</v>
      </c>
    </row>
    <row r="273" spans="2:23" ht="40" customHeight="1">
      <c r="B273" s="15"/>
      <c r="C273" s="25" t="s">
        <v>659</v>
      </c>
      <c r="D273" s="25"/>
      <c r="E273" s="25"/>
      <c r="F273" s="25" t="s">
        <v>660</v>
      </c>
      <c r="G273" s="25"/>
      <c r="H273" s="25"/>
      <c r="I273" s="25" t="s">
        <v>574</v>
      </c>
      <c r="J273" s="25"/>
      <c r="K273" s="25"/>
      <c r="L273" s="25" t="s">
        <v>661</v>
      </c>
      <c r="M273" s="25"/>
      <c r="N273" s="25"/>
      <c r="O273" s="18"/>
      <c r="P273" s="27"/>
      <c r="Q273" s="29"/>
      <c r="R273" s="30"/>
      <c r="U273">
        <v>271</v>
      </c>
      <c r="V273" s="9">
        <v>1</v>
      </c>
      <c r="W273" s="46"/>
    </row>
    <row r="274" spans="2:23" ht="40" customHeight="1">
      <c r="B274" s="14">
        <v>136</v>
      </c>
      <c r="C274" s="16" t="s">
        <v>662</v>
      </c>
      <c r="D274" s="16"/>
      <c r="E274" s="16"/>
      <c r="F274" s="16"/>
      <c r="G274" s="16"/>
      <c r="H274" s="16"/>
      <c r="I274" s="16"/>
      <c r="J274" s="16"/>
      <c r="K274" s="16"/>
      <c r="L274" s="16"/>
      <c r="M274" s="16"/>
      <c r="N274" s="16"/>
      <c r="O274" s="17"/>
      <c r="P274" s="19" t="str">
        <f t="shared" ref="P274" si="276">Q274</f>
        <v>×</v>
      </c>
      <c r="Q274" s="28" t="str">
        <f t="shared" ref="Q274" si="277">IF(O274=R274,$S$3,$T$3)</f>
        <v>×</v>
      </c>
      <c r="R274" s="23" t="s">
        <v>290</v>
      </c>
      <c r="U274">
        <v>272</v>
      </c>
      <c r="V274" s="9">
        <v>2</v>
      </c>
      <c r="W274" s="46">
        <f t="shared" ref="W274" si="278">IF(O274=R274,1,0)</f>
        <v>0</v>
      </c>
    </row>
    <row r="275" spans="2:23" ht="40" customHeight="1">
      <c r="B275" s="15"/>
      <c r="C275" s="25" t="s">
        <v>663</v>
      </c>
      <c r="D275" s="25"/>
      <c r="E275" s="25"/>
      <c r="F275" s="25" t="s">
        <v>664</v>
      </c>
      <c r="G275" s="25"/>
      <c r="H275" s="25"/>
      <c r="I275" s="25" t="s">
        <v>665</v>
      </c>
      <c r="J275" s="25"/>
      <c r="K275" s="25"/>
      <c r="L275" s="25" t="s">
        <v>666</v>
      </c>
      <c r="M275" s="25"/>
      <c r="N275" s="25"/>
      <c r="O275" s="18"/>
      <c r="P275" s="27"/>
      <c r="Q275" s="29"/>
      <c r="R275" s="30"/>
      <c r="U275">
        <v>273</v>
      </c>
      <c r="V275" s="9">
        <v>1</v>
      </c>
      <c r="W275" s="46"/>
    </row>
    <row r="276" spans="2:23" ht="40" customHeight="1">
      <c r="B276" s="14">
        <v>137</v>
      </c>
      <c r="C276" s="16" t="s">
        <v>667</v>
      </c>
      <c r="D276" s="16"/>
      <c r="E276" s="16"/>
      <c r="F276" s="16"/>
      <c r="G276" s="16"/>
      <c r="H276" s="16"/>
      <c r="I276" s="16"/>
      <c r="J276" s="16"/>
      <c r="K276" s="16"/>
      <c r="L276" s="16"/>
      <c r="M276" s="16"/>
      <c r="N276" s="16"/>
      <c r="O276" s="17"/>
      <c r="P276" s="19" t="str">
        <f t="shared" ref="P276" si="279">Q276</f>
        <v>×</v>
      </c>
      <c r="Q276" s="28" t="str">
        <f t="shared" ref="Q276" si="280">IF(O276=R276,$S$3,$T$3)</f>
        <v>×</v>
      </c>
      <c r="R276" s="23" t="s">
        <v>287</v>
      </c>
      <c r="U276">
        <v>274</v>
      </c>
      <c r="V276" s="9">
        <v>2</v>
      </c>
      <c r="W276" s="46">
        <f t="shared" ref="W276" si="281">IF(O276=R276,1,0)</f>
        <v>0</v>
      </c>
    </row>
    <row r="277" spans="2:23" ht="40" customHeight="1">
      <c r="B277" s="15"/>
      <c r="C277" s="25" t="s">
        <v>668</v>
      </c>
      <c r="D277" s="25"/>
      <c r="E277" s="25"/>
      <c r="F277" s="25" t="s">
        <v>669</v>
      </c>
      <c r="G277" s="25"/>
      <c r="H277" s="25"/>
      <c r="I277" s="25" t="s">
        <v>670</v>
      </c>
      <c r="J277" s="25"/>
      <c r="K277" s="25"/>
      <c r="L277" s="25" t="s">
        <v>425</v>
      </c>
      <c r="M277" s="25"/>
      <c r="N277" s="25"/>
      <c r="O277" s="18"/>
      <c r="P277" s="27"/>
      <c r="Q277" s="29"/>
      <c r="R277" s="30"/>
      <c r="U277">
        <v>275</v>
      </c>
      <c r="V277" s="9">
        <v>1</v>
      </c>
      <c r="W277" s="46"/>
    </row>
    <row r="278" spans="2:23" ht="40" customHeight="1">
      <c r="B278" s="14">
        <v>138</v>
      </c>
      <c r="C278" s="16" t="s">
        <v>671</v>
      </c>
      <c r="D278" s="16"/>
      <c r="E278" s="16"/>
      <c r="F278" s="16"/>
      <c r="G278" s="16"/>
      <c r="H278" s="16"/>
      <c r="I278" s="16"/>
      <c r="J278" s="16"/>
      <c r="K278" s="16"/>
      <c r="L278" s="16"/>
      <c r="M278" s="16"/>
      <c r="N278" s="16"/>
      <c r="O278" s="17"/>
      <c r="P278" s="19" t="str">
        <f t="shared" ref="P278" si="282">Q278</f>
        <v>×</v>
      </c>
      <c r="Q278" s="28" t="str">
        <f t="shared" ref="Q278" si="283">IF(O278=R278,$S$3,$T$3)</f>
        <v>×</v>
      </c>
      <c r="R278" s="23" t="s">
        <v>288</v>
      </c>
      <c r="U278">
        <v>276</v>
      </c>
      <c r="V278" s="9">
        <v>2</v>
      </c>
      <c r="W278" s="46">
        <f t="shared" ref="W278" si="284">IF(O278=R278,1,0)</f>
        <v>0</v>
      </c>
    </row>
    <row r="279" spans="2:23" ht="40" customHeight="1">
      <c r="B279" s="15"/>
      <c r="C279" s="25" t="s">
        <v>672</v>
      </c>
      <c r="D279" s="25"/>
      <c r="E279" s="25"/>
      <c r="F279" s="25" t="s">
        <v>673</v>
      </c>
      <c r="G279" s="25"/>
      <c r="H279" s="25"/>
      <c r="I279" s="25" t="s">
        <v>599</v>
      </c>
      <c r="J279" s="25"/>
      <c r="K279" s="25"/>
      <c r="L279" s="25" t="s">
        <v>674</v>
      </c>
      <c r="M279" s="25"/>
      <c r="N279" s="25"/>
      <c r="O279" s="18"/>
      <c r="P279" s="27"/>
      <c r="Q279" s="29"/>
      <c r="R279" s="30"/>
      <c r="U279">
        <v>277</v>
      </c>
      <c r="V279" s="9">
        <v>1</v>
      </c>
      <c r="W279" s="46"/>
    </row>
    <row r="280" spans="2:23" ht="40" customHeight="1">
      <c r="B280" s="14">
        <v>139</v>
      </c>
      <c r="C280" s="16" t="s">
        <v>675</v>
      </c>
      <c r="D280" s="16"/>
      <c r="E280" s="16"/>
      <c r="F280" s="16"/>
      <c r="G280" s="16"/>
      <c r="H280" s="16"/>
      <c r="I280" s="16"/>
      <c r="J280" s="16"/>
      <c r="K280" s="16"/>
      <c r="L280" s="16"/>
      <c r="M280" s="16"/>
      <c r="N280" s="16"/>
      <c r="O280" s="17"/>
      <c r="P280" s="19" t="str">
        <f t="shared" ref="P280" si="285">Q280</f>
        <v>×</v>
      </c>
      <c r="Q280" s="28" t="str">
        <f t="shared" ref="Q280" si="286">IF(O280=R280,$S$3,$T$3)</f>
        <v>×</v>
      </c>
      <c r="R280" s="23" t="s">
        <v>287</v>
      </c>
      <c r="U280">
        <v>278</v>
      </c>
      <c r="V280" s="9">
        <v>2</v>
      </c>
      <c r="W280" s="46">
        <f t="shared" ref="W280" si="287">IF(O280=R280,1,0)</f>
        <v>0</v>
      </c>
    </row>
    <row r="281" spans="2:23" ht="40" customHeight="1">
      <c r="B281" s="15"/>
      <c r="C281" s="25" t="s">
        <v>207</v>
      </c>
      <c r="D281" s="25"/>
      <c r="E281" s="25"/>
      <c r="F281" s="25" t="s">
        <v>208</v>
      </c>
      <c r="G281" s="25"/>
      <c r="H281" s="25"/>
      <c r="I281" s="25" t="s">
        <v>676</v>
      </c>
      <c r="J281" s="25"/>
      <c r="K281" s="25"/>
      <c r="L281" s="25" t="s">
        <v>677</v>
      </c>
      <c r="M281" s="25"/>
      <c r="N281" s="25"/>
      <c r="O281" s="18"/>
      <c r="P281" s="27"/>
      <c r="Q281" s="29"/>
      <c r="R281" s="30"/>
      <c r="U281">
        <v>279</v>
      </c>
      <c r="V281" s="9">
        <v>1</v>
      </c>
      <c r="W281" s="46"/>
    </row>
    <row r="282" spans="2:23" ht="40" customHeight="1">
      <c r="B282" s="14">
        <v>140</v>
      </c>
      <c r="C282" s="16" t="s">
        <v>678</v>
      </c>
      <c r="D282" s="16"/>
      <c r="E282" s="16"/>
      <c r="F282" s="16"/>
      <c r="G282" s="16"/>
      <c r="H282" s="16"/>
      <c r="I282" s="16"/>
      <c r="J282" s="16"/>
      <c r="K282" s="16"/>
      <c r="L282" s="16"/>
      <c r="M282" s="16"/>
      <c r="N282" s="16"/>
      <c r="O282" s="17"/>
      <c r="P282" s="19" t="str">
        <f>Q282</f>
        <v>×</v>
      </c>
      <c r="Q282" s="28" t="str">
        <f>IF(O282=R282,$S$3,$T$3)</f>
        <v>×</v>
      </c>
      <c r="R282" s="23" t="s">
        <v>287</v>
      </c>
      <c r="U282">
        <v>280</v>
      </c>
      <c r="V282" s="9">
        <v>2</v>
      </c>
      <c r="W282" s="46">
        <f t="shared" ref="W282" si="288">IF(O282=R282,1,0)</f>
        <v>0</v>
      </c>
    </row>
    <row r="283" spans="2:23" ht="40" customHeight="1">
      <c r="B283" s="15"/>
      <c r="C283" s="25" t="s">
        <v>679</v>
      </c>
      <c r="D283" s="25"/>
      <c r="E283" s="25"/>
      <c r="F283" s="25" t="s">
        <v>680</v>
      </c>
      <c r="G283" s="25"/>
      <c r="H283" s="25"/>
      <c r="I283" s="25" t="s">
        <v>681</v>
      </c>
      <c r="J283" s="25"/>
      <c r="K283" s="25"/>
      <c r="L283" s="25" t="s">
        <v>682</v>
      </c>
      <c r="M283" s="25"/>
      <c r="N283" s="25"/>
      <c r="O283" s="18"/>
      <c r="P283" s="27"/>
      <c r="Q283" s="29"/>
      <c r="R283" s="30"/>
      <c r="U283">
        <v>281</v>
      </c>
      <c r="V283" s="9">
        <v>1</v>
      </c>
      <c r="W283" s="46"/>
    </row>
    <row r="284" spans="2:23" ht="40" customHeight="1">
      <c r="B284" s="14">
        <v>141</v>
      </c>
      <c r="C284" s="16" t="s">
        <v>683</v>
      </c>
      <c r="D284" s="16"/>
      <c r="E284" s="16"/>
      <c r="F284" s="16"/>
      <c r="G284" s="16"/>
      <c r="H284" s="16"/>
      <c r="I284" s="16"/>
      <c r="J284" s="16"/>
      <c r="K284" s="16"/>
      <c r="L284" s="16"/>
      <c r="M284" s="16"/>
      <c r="N284" s="16"/>
      <c r="O284" s="17"/>
      <c r="P284" s="19" t="str">
        <f t="shared" ref="P284" si="289">Q284</f>
        <v>×</v>
      </c>
      <c r="Q284" s="28" t="str">
        <f t="shared" ref="Q284" si="290">IF(O284=R284,$S$3,$T$3)</f>
        <v>×</v>
      </c>
      <c r="R284" s="23" t="s">
        <v>288</v>
      </c>
      <c r="U284">
        <v>282</v>
      </c>
      <c r="V284" s="9">
        <v>2</v>
      </c>
      <c r="W284" s="46">
        <f t="shared" ref="W284" si="291">IF(O284=R284,1,0)</f>
        <v>0</v>
      </c>
    </row>
    <row r="285" spans="2:23" ht="40" customHeight="1">
      <c r="B285" s="15"/>
      <c r="C285" s="25" t="s">
        <v>684</v>
      </c>
      <c r="D285" s="25"/>
      <c r="E285" s="25"/>
      <c r="F285" s="25" t="s">
        <v>685</v>
      </c>
      <c r="G285" s="25"/>
      <c r="H285" s="25"/>
      <c r="I285" s="25" t="s">
        <v>686</v>
      </c>
      <c r="J285" s="25"/>
      <c r="K285" s="25"/>
      <c r="L285" s="25" t="s">
        <v>687</v>
      </c>
      <c r="M285" s="25"/>
      <c r="N285" s="25"/>
      <c r="O285" s="18"/>
      <c r="P285" s="27"/>
      <c r="Q285" s="29"/>
      <c r="R285" s="30"/>
      <c r="U285">
        <v>283</v>
      </c>
      <c r="V285" s="9">
        <v>1</v>
      </c>
      <c r="W285" s="46"/>
    </row>
    <row r="286" spans="2:23" ht="40" customHeight="1">
      <c r="B286" s="14">
        <v>142</v>
      </c>
      <c r="C286" s="16" t="s">
        <v>688</v>
      </c>
      <c r="D286" s="16"/>
      <c r="E286" s="16"/>
      <c r="F286" s="16"/>
      <c r="G286" s="16"/>
      <c r="H286" s="16"/>
      <c r="I286" s="16"/>
      <c r="J286" s="16"/>
      <c r="K286" s="16"/>
      <c r="L286" s="16"/>
      <c r="M286" s="16"/>
      <c r="N286" s="16"/>
      <c r="O286" s="17"/>
      <c r="P286" s="19" t="str">
        <f t="shared" ref="P286" si="292">Q286</f>
        <v>×</v>
      </c>
      <c r="Q286" s="28" t="str">
        <f t="shared" ref="Q286" si="293">IF(O286=R286,$S$3,$T$3)</f>
        <v>×</v>
      </c>
      <c r="R286" s="23" t="s">
        <v>290</v>
      </c>
      <c r="U286">
        <v>284</v>
      </c>
      <c r="V286" s="9">
        <v>2</v>
      </c>
      <c r="W286" s="46">
        <f t="shared" ref="W286" si="294">IF(O286=R286,1,0)</f>
        <v>0</v>
      </c>
    </row>
    <row r="287" spans="2:23" ht="40" customHeight="1">
      <c r="B287" s="15"/>
      <c r="C287" s="25" t="s">
        <v>689</v>
      </c>
      <c r="D287" s="25"/>
      <c r="E287" s="25"/>
      <c r="F287" s="25" t="s">
        <v>690</v>
      </c>
      <c r="G287" s="25"/>
      <c r="H287" s="25"/>
      <c r="I287" s="25" t="s">
        <v>691</v>
      </c>
      <c r="J287" s="25"/>
      <c r="K287" s="25"/>
      <c r="L287" s="25" t="s">
        <v>692</v>
      </c>
      <c r="M287" s="25"/>
      <c r="N287" s="25"/>
      <c r="O287" s="18"/>
      <c r="P287" s="27"/>
      <c r="Q287" s="29"/>
      <c r="R287" s="30"/>
      <c r="U287">
        <v>285</v>
      </c>
      <c r="V287" s="9">
        <v>1</v>
      </c>
      <c r="W287" s="46"/>
    </row>
    <row r="288" spans="2:23" ht="40" customHeight="1">
      <c r="B288" s="14">
        <v>143</v>
      </c>
      <c r="C288" s="16" t="s">
        <v>693</v>
      </c>
      <c r="D288" s="16"/>
      <c r="E288" s="16"/>
      <c r="F288" s="16"/>
      <c r="G288" s="16"/>
      <c r="H288" s="16"/>
      <c r="I288" s="16"/>
      <c r="J288" s="16"/>
      <c r="K288" s="16"/>
      <c r="L288" s="16"/>
      <c r="M288" s="16"/>
      <c r="N288" s="16"/>
      <c r="O288" s="17"/>
      <c r="P288" s="19" t="str">
        <f t="shared" ref="P288" si="295">Q288</f>
        <v>×</v>
      </c>
      <c r="Q288" s="28" t="str">
        <f t="shared" ref="Q288" si="296">IF(O288=R288,$S$3,$T$3)</f>
        <v>×</v>
      </c>
      <c r="R288" s="23" t="s">
        <v>290</v>
      </c>
      <c r="U288">
        <v>286</v>
      </c>
      <c r="V288" s="9">
        <v>2</v>
      </c>
      <c r="W288" s="46">
        <f t="shared" ref="W288" si="297">IF(O288=R288,1,0)</f>
        <v>0</v>
      </c>
    </row>
    <row r="289" spans="2:23" ht="40" customHeight="1">
      <c r="B289" s="15"/>
      <c r="C289" s="25" t="s">
        <v>694</v>
      </c>
      <c r="D289" s="25"/>
      <c r="E289" s="25"/>
      <c r="F289" s="25" t="s">
        <v>695</v>
      </c>
      <c r="G289" s="25"/>
      <c r="H289" s="25"/>
      <c r="I289" s="25" t="s">
        <v>696</v>
      </c>
      <c r="J289" s="25"/>
      <c r="K289" s="25"/>
      <c r="L289" s="25" t="s">
        <v>697</v>
      </c>
      <c r="M289" s="25"/>
      <c r="N289" s="25"/>
      <c r="O289" s="18"/>
      <c r="P289" s="27"/>
      <c r="Q289" s="29"/>
      <c r="R289" s="30"/>
      <c r="U289">
        <v>287</v>
      </c>
      <c r="V289" s="9">
        <v>1</v>
      </c>
      <c r="W289" s="46"/>
    </row>
    <row r="290" spans="2:23" ht="40" customHeight="1">
      <c r="B290" s="14">
        <v>144</v>
      </c>
      <c r="C290" s="16" t="s">
        <v>698</v>
      </c>
      <c r="D290" s="16"/>
      <c r="E290" s="16"/>
      <c r="F290" s="16"/>
      <c r="G290" s="16"/>
      <c r="H290" s="16"/>
      <c r="I290" s="16"/>
      <c r="J290" s="16"/>
      <c r="K290" s="16"/>
      <c r="L290" s="16"/>
      <c r="M290" s="16"/>
      <c r="N290" s="16"/>
      <c r="O290" s="17"/>
      <c r="P290" s="19" t="str">
        <f t="shared" ref="P290" si="298">Q290</f>
        <v>×</v>
      </c>
      <c r="Q290" s="28" t="str">
        <f t="shared" ref="Q290" si="299">IF(O290=R290,$S$3,$T$3)</f>
        <v>×</v>
      </c>
      <c r="R290" s="23" t="s">
        <v>289</v>
      </c>
      <c r="U290">
        <v>288</v>
      </c>
      <c r="V290" s="9">
        <v>2</v>
      </c>
      <c r="W290" s="46">
        <f t="shared" ref="W290" si="300">IF(O290=R290,1,0)</f>
        <v>0</v>
      </c>
    </row>
    <row r="291" spans="2:23" ht="40" customHeight="1">
      <c r="B291" s="15"/>
      <c r="C291" s="25" t="s">
        <v>699</v>
      </c>
      <c r="D291" s="25"/>
      <c r="E291" s="25"/>
      <c r="F291" s="25" t="s">
        <v>700</v>
      </c>
      <c r="G291" s="25"/>
      <c r="H291" s="25"/>
      <c r="I291" s="25" t="s">
        <v>701</v>
      </c>
      <c r="J291" s="25"/>
      <c r="K291" s="25"/>
      <c r="L291" s="25" t="s">
        <v>702</v>
      </c>
      <c r="M291" s="25"/>
      <c r="N291" s="25"/>
      <c r="O291" s="18"/>
      <c r="P291" s="27"/>
      <c r="Q291" s="29"/>
      <c r="R291" s="30"/>
      <c r="U291">
        <v>289</v>
      </c>
      <c r="V291" s="9">
        <v>1</v>
      </c>
      <c r="W291" s="46"/>
    </row>
    <row r="292" spans="2:23" ht="40" customHeight="1">
      <c r="B292" s="14">
        <v>145</v>
      </c>
      <c r="C292" s="16" t="s">
        <v>703</v>
      </c>
      <c r="D292" s="16"/>
      <c r="E292" s="16"/>
      <c r="F292" s="16"/>
      <c r="G292" s="16"/>
      <c r="H292" s="16"/>
      <c r="I292" s="16"/>
      <c r="J292" s="16"/>
      <c r="K292" s="16"/>
      <c r="L292" s="16"/>
      <c r="M292" s="16"/>
      <c r="N292" s="16"/>
      <c r="O292" s="17"/>
      <c r="P292" s="19" t="str">
        <f t="shared" ref="P292" si="301">Q292</f>
        <v>×</v>
      </c>
      <c r="Q292" s="28" t="str">
        <f t="shared" ref="Q292" si="302">IF(O292=R292,$S$3,$T$3)</f>
        <v>×</v>
      </c>
      <c r="R292" s="23" t="s">
        <v>289</v>
      </c>
      <c r="U292">
        <v>290</v>
      </c>
      <c r="V292" s="9">
        <v>2</v>
      </c>
      <c r="W292" s="46">
        <f t="shared" ref="W292" si="303">IF(O292=R292,1,0)</f>
        <v>0</v>
      </c>
    </row>
    <row r="293" spans="2:23" ht="40" customHeight="1">
      <c r="B293" s="15"/>
      <c r="C293" s="25" t="s">
        <v>704</v>
      </c>
      <c r="D293" s="25"/>
      <c r="E293" s="25"/>
      <c r="F293" s="25" t="s">
        <v>705</v>
      </c>
      <c r="G293" s="25"/>
      <c r="H293" s="25"/>
      <c r="I293" s="25" t="s">
        <v>706</v>
      </c>
      <c r="J293" s="25"/>
      <c r="K293" s="25"/>
      <c r="L293" s="25" t="s">
        <v>707</v>
      </c>
      <c r="M293" s="25"/>
      <c r="N293" s="25"/>
      <c r="O293" s="18"/>
      <c r="P293" s="27"/>
      <c r="Q293" s="29"/>
      <c r="R293" s="30"/>
      <c r="U293">
        <v>291</v>
      </c>
      <c r="V293" s="9">
        <v>1</v>
      </c>
      <c r="W293" s="46"/>
    </row>
    <row r="294" spans="2:23" ht="40" customHeight="1">
      <c r="B294" s="14">
        <v>146</v>
      </c>
      <c r="C294" s="16" t="s">
        <v>708</v>
      </c>
      <c r="D294" s="16"/>
      <c r="E294" s="16"/>
      <c r="F294" s="16"/>
      <c r="G294" s="16"/>
      <c r="H294" s="16"/>
      <c r="I294" s="16"/>
      <c r="J294" s="16"/>
      <c r="K294" s="16"/>
      <c r="L294" s="16"/>
      <c r="M294" s="16"/>
      <c r="N294" s="16"/>
      <c r="O294" s="17"/>
      <c r="P294" s="19" t="str">
        <f t="shared" ref="P294" si="304">Q294</f>
        <v>×</v>
      </c>
      <c r="Q294" s="28" t="str">
        <f t="shared" ref="Q294" si="305">IF(O294=R294,$S$3,$T$3)</f>
        <v>×</v>
      </c>
      <c r="R294" s="23" t="s">
        <v>289</v>
      </c>
      <c r="U294">
        <v>292</v>
      </c>
      <c r="V294" s="9">
        <v>2</v>
      </c>
      <c r="W294" s="46">
        <f t="shared" ref="W294" si="306">IF(O294=R294,1,0)</f>
        <v>0</v>
      </c>
    </row>
    <row r="295" spans="2:23" ht="40" customHeight="1">
      <c r="B295" s="15"/>
      <c r="C295" s="25" t="s">
        <v>709</v>
      </c>
      <c r="D295" s="25"/>
      <c r="E295" s="25"/>
      <c r="F295" s="25" t="s">
        <v>710</v>
      </c>
      <c r="G295" s="25"/>
      <c r="H295" s="25"/>
      <c r="I295" s="25" t="s">
        <v>711</v>
      </c>
      <c r="J295" s="25"/>
      <c r="K295" s="25"/>
      <c r="L295" s="25" t="s">
        <v>712</v>
      </c>
      <c r="M295" s="25"/>
      <c r="N295" s="25"/>
      <c r="O295" s="18"/>
      <c r="P295" s="27"/>
      <c r="Q295" s="29"/>
      <c r="R295" s="30"/>
      <c r="U295">
        <v>293</v>
      </c>
      <c r="V295" s="9">
        <v>1</v>
      </c>
      <c r="W295" s="46"/>
    </row>
    <row r="296" spans="2:23" ht="40" customHeight="1">
      <c r="B296" s="14">
        <v>147</v>
      </c>
      <c r="C296" s="16" t="s">
        <v>713</v>
      </c>
      <c r="D296" s="16"/>
      <c r="E296" s="16"/>
      <c r="F296" s="16"/>
      <c r="G296" s="16"/>
      <c r="H296" s="16"/>
      <c r="I296" s="16"/>
      <c r="J296" s="16"/>
      <c r="K296" s="16"/>
      <c r="L296" s="16"/>
      <c r="M296" s="16"/>
      <c r="N296" s="16"/>
      <c r="O296" s="17"/>
      <c r="P296" s="19" t="str">
        <f t="shared" ref="P296" si="307">Q296</f>
        <v>×</v>
      </c>
      <c r="Q296" s="28" t="str">
        <f t="shared" ref="Q296" si="308">IF(O296=R296,$S$3,$T$3)</f>
        <v>×</v>
      </c>
      <c r="R296" s="23" t="s">
        <v>287</v>
      </c>
      <c r="U296">
        <v>294</v>
      </c>
      <c r="V296" s="9">
        <v>2</v>
      </c>
      <c r="W296" s="46">
        <f t="shared" ref="W296" si="309">IF(O296=R296,1,0)</f>
        <v>0</v>
      </c>
    </row>
    <row r="297" spans="2:23" ht="40" customHeight="1">
      <c r="B297" s="15"/>
      <c r="C297" s="25" t="s">
        <v>714</v>
      </c>
      <c r="D297" s="25"/>
      <c r="E297" s="25"/>
      <c r="F297" s="25" t="s">
        <v>715</v>
      </c>
      <c r="G297" s="25"/>
      <c r="H297" s="25"/>
      <c r="I297" s="25" t="s">
        <v>716</v>
      </c>
      <c r="J297" s="25"/>
      <c r="K297" s="25"/>
      <c r="L297" s="25" t="s">
        <v>717</v>
      </c>
      <c r="M297" s="25"/>
      <c r="N297" s="25"/>
      <c r="O297" s="18"/>
      <c r="P297" s="27"/>
      <c r="Q297" s="29"/>
      <c r="R297" s="30"/>
      <c r="U297">
        <v>295</v>
      </c>
      <c r="V297" s="9">
        <v>1</v>
      </c>
      <c r="W297" s="46"/>
    </row>
    <row r="298" spans="2:23" ht="40" customHeight="1">
      <c r="B298" s="14">
        <v>148</v>
      </c>
      <c r="C298" s="16" t="s">
        <v>718</v>
      </c>
      <c r="D298" s="16"/>
      <c r="E298" s="16"/>
      <c r="F298" s="16"/>
      <c r="G298" s="16"/>
      <c r="H298" s="16"/>
      <c r="I298" s="16"/>
      <c r="J298" s="16"/>
      <c r="K298" s="16"/>
      <c r="L298" s="16"/>
      <c r="M298" s="16"/>
      <c r="N298" s="16"/>
      <c r="O298" s="17"/>
      <c r="P298" s="19" t="str">
        <f t="shared" ref="P298" si="310">Q298</f>
        <v>×</v>
      </c>
      <c r="Q298" s="28" t="str">
        <f t="shared" ref="Q298" si="311">IF(O298=R298,$S$3,$T$3)</f>
        <v>×</v>
      </c>
      <c r="R298" s="23" t="s">
        <v>289</v>
      </c>
      <c r="U298">
        <v>296</v>
      </c>
      <c r="V298" s="9">
        <v>2</v>
      </c>
      <c r="W298" s="46">
        <f t="shared" ref="W298" si="312">IF(O298=R298,1,0)</f>
        <v>0</v>
      </c>
    </row>
    <row r="299" spans="2:23" ht="40" customHeight="1">
      <c r="B299" s="15"/>
      <c r="C299" s="25" t="s">
        <v>719</v>
      </c>
      <c r="D299" s="25"/>
      <c r="E299" s="25"/>
      <c r="F299" s="25" t="s">
        <v>720</v>
      </c>
      <c r="G299" s="25"/>
      <c r="H299" s="25"/>
      <c r="I299" s="25" t="s">
        <v>721</v>
      </c>
      <c r="J299" s="25"/>
      <c r="K299" s="25"/>
      <c r="L299" s="25" t="s">
        <v>722</v>
      </c>
      <c r="M299" s="25"/>
      <c r="N299" s="25"/>
      <c r="O299" s="18"/>
      <c r="P299" s="27"/>
      <c r="Q299" s="29"/>
      <c r="R299" s="30"/>
      <c r="U299">
        <v>297</v>
      </c>
      <c r="V299" s="9">
        <v>1</v>
      </c>
      <c r="W299" s="46"/>
    </row>
    <row r="300" spans="2:23" ht="40" customHeight="1">
      <c r="B300" s="14">
        <v>149</v>
      </c>
      <c r="C300" s="16" t="s">
        <v>723</v>
      </c>
      <c r="D300" s="16"/>
      <c r="E300" s="16"/>
      <c r="F300" s="16"/>
      <c r="G300" s="16"/>
      <c r="H300" s="16"/>
      <c r="I300" s="16"/>
      <c r="J300" s="16"/>
      <c r="K300" s="16"/>
      <c r="L300" s="16"/>
      <c r="M300" s="16"/>
      <c r="N300" s="16"/>
      <c r="O300" s="17"/>
      <c r="P300" s="19" t="str">
        <f t="shared" ref="P300" si="313">Q300</f>
        <v>×</v>
      </c>
      <c r="Q300" s="28" t="str">
        <f t="shared" ref="Q300" si="314">IF(O300=R300,$S$3,$T$3)</f>
        <v>×</v>
      </c>
      <c r="R300" s="23" t="s">
        <v>290</v>
      </c>
      <c r="U300">
        <v>298</v>
      </c>
      <c r="V300" s="9">
        <v>2</v>
      </c>
      <c r="W300" s="46">
        <f t="shared" ref="W300" si="315">IF(O300=R300,1,0)</f>
        <v>0</v>
      </c>
    </row>
    <row r="301" spans="2:23" ht="40" customHeight="1">
      <c r="B301" s="15"/>
      <c r="C301" s="25" t="s">
        <v>724</v>
      </c>
      <c r="D301" s="25"/>
      <c r="E301" s="25"/>
      <c r="F301" s="25" t="s">
        <v>725</v>
      </c>
      <c r="G301" s="25"/>
      <c r="H301" s="25"/>
      <c r="I301" s="25" t="s">
        <v>726</v>
      </c>
      <c r="J301" s="25"/>
      <c r="K301" s="25"/>
      <c r="L301" s="25" t="s">
        <v>727</v>
      </c>
      <c r="M301" s="25"/>
      <c r="N301" s="25"/>
      <c r="O301" s="18"/>
      <c r="P301" s="27"/>
      <c r="Q301" s="29"/>
      <c r="R301" s="30"/>
      <c r="U301">
        <v>299</v>
      </c>
      <c r="V301" s="9">
        <v>1</v>
      </c>
      <c r="W301" s="46"/>
    </row>
    <row r="302" spans="2:23" ht="40" customHeight="1">
      <c r="B302" s="14">
        <v>150</v>
      </c>
      <c r="C302" s="16" t="s">
        <v>728</v>
      </c>
      <c r="D302" s="16"/>
      <c r="E302" s="16"/>
      <c r="F302" s="16"/>
      <c r="G302" s="16"/>
      <c r="H302" s="16"/>
      <c r="I302" s="16"/>
      <c r="J302" s="16"/>
      <c r="K302" s="16"/>
      <c r="L302" s="16"/>
      <c r="M302" s="16"/>
      <c r="N302" s="16"/>
      <c r="O302" s="17"/>
      <c r="P302" s="19" t="str">
        <f t="shared" ref="P302" si="316">Q302</f>
        <v>×</v>
      </c>
      <c r="Q302" s="28" t="str">
        <f t="shared" ref="Q302" si="317">IF(O302=R302,$S$3,$T$3)</f>
        <v>×</v>
      </c>
      <c r="R302" s="23" t="s">
        <v>288</v>
      </c>
      <c r="U302">
        <v>300</v>
      </c>
      <c r="V302" s="9">
        <v>2</v>
      </c>
      <c r="W302" s="46">
        <f t="shared" ref="W302" si="318">IF(O302=R302,1,0)</f>
        <v>0</v>
      </c>
    </row>
    <row r="303" spans="2:23" ht="40" customHeight="1">
      <c r="B303" s="15"/>
      <c r="C303" s="25" t="s">
        <v>729</v>
      </c>
      <c r="D303" s="25"/>
      <c r="E303" s="25"/>
      <c r="F303" s="25" t="s">
        <v>730</v>
      </c>
      <c r="G303" s="25"/>
      <c r="H303" s="25"/>
      <c r="I303" s="25" t="s">
        <v>731</v>
      </c>
      <c r="J303" s="25"/>
      <c r="K303" s="25"/>
      <c r="L303" s="25" t="s">
        <v>732</v>
      </c>
      <c r="M303" s="25"/>
      <c r="N303" s="25"/>
      <c r="O303" s="18"/>
      <c r="P303" s="27"/>
      <c r="Q303" s="29"/>
      <c r="R303" s="30"/>
      <c r="U303">
        <v>301</v>
      </c>
      <c r="V303" s="9">
        <v>1</v>
      </c>
      <c r="W303" s="46"/>
    </row>
    <row r="304" spans="2:23" ht="40" customHeight="1">
      <c r="B304" s="14">
        <v>151</v>
      </c>
      <c r="C304" s="16" t="s">
        <v>733</v>
      </c>
      <c r="D304" s="16"/>
      <c r="E304" s="16"/>
      <c r="F304" s="16"/>
      <c r="G304" s="16"/>
      <c r="H304" s="16"/>
      <c r="I304" s="16"/>
      <c r="J304" s="16"/>
      <c r="K304" s="16"/>
      <c r="L304" s="16"/>
      <c r="M304" s="16"/>
      <c r="N304" s="16"/>
      <c r="O304" s="17"/>
      <c r="P304" s="19" t="str">
        <f t="shared" ref="P304" si="319">Q304</f>
        <v>×</v>
      </c>
      <c r="Q304" s="28" t="str">
        <f t="shared" ref="Q304" si="320">IF(O304=R304,$S$3,$T$3)</f>
        <v>×</v>
      </c>
      <c r="R304" s="23" t="s">
        <v>287</v>
      </c>
      <c r="U304">
        <v>302</v>
      </c>
      <c r="V304" s="9">
        <v>2</v>
      </c>
      <c r="W304" s="46">
        <f t="shared" ref="W304" si="321">IF(O304=R304,1,0)</f>
        <v>0</v>
      </c>
    </row>
    <row r="305" spans="2:23" ht="40" customHeight="1">
      <c r="B305" s="15"/>
      <c r="C305" s="25" t="s">
        <v>734</v>
      </c>
      <c r="D305" s="25"/>
      <c r="E305" s="25"/>
      <c r="F305" s="25" t="s">
        <v>735</v>
      </c>
      <c r="G305" s="25"/>
      <c r="H305" s="25"/>
      <c r="I305" s="25" t="s">
        <v>736</v>
      </c>
      <c r="J305" s="25"/>
      <c r="K305" s="25"/>
      <c r="L305" s="25" t="s">
        <v>737</v>
      </c>
      <c r="M305" s="25"/>
      <c r="N305" s="25"/>
      <c r="O305" s="18"/>
      <c r="P305" s="27"/>
      <c r="Q305" s="29"/>
      <c r="R305" s="30"/>
      <c r="U305">
        <v>303</v>
      </c>
      <c r="V305" s="9">
        <v>1</v>
      </c>
      <c r="W305" s="46"/>
    </row>
    <row r="306" spans="2:23" ht="40" customHeight="1">
      <c r="B306" s="14">
        <v>152</v>
      </c>
      <c r="C306" s="16" t="s">
        <v>738</v>
      </c>
      <c r="D306" s="16"/>
      <c r="E306" s="16"/>
      <c r="F306" s="16"/>
      <c r="G306" s="16"/>
      <c r="H306" s="16"/>
      <c r="I306" s="16"/>
      <c r="J306" s="16"/>
      <c r="K306" s="16"/>
      <c r="L306" s="16"/>
      <c r="M306" s="16"/>
      <c r="N306" s="16"/>
      <c r="O306" s="17"/>
      <c r="P306" s="19" t="str">
        <f t="shared" ref="P306" si="322">Q306</f>
        <v>×</v>
      </c>
      <c r="Q306" s="28" t="str">
        <f t="shared" ref="Q306" si="323">IF(O306=R306,$S$3,$T$3)</f>
        <v>×</v>
      </c>
      <c r="R306" s="23" t="s">
        <v>289</v>
      </c>
      <c r="U306">
        <v>304</v>
      </c>
      <c r="V306" s="9">
        <v>2</v>
      </c>
      <c r="W306" s="46">
        <f t="shared" ref="W306" si="324">IF(O306=R306,1,0)</f>
        <v>0</v>
      </c>
    </row>
    <row r="307" spans="2:23" ht="40" customHeight="1">
      <c r="B307" s="15"/>
      <c r="C307" s="25" t="s">
        <v>602</v>
      </c>
      <c r="D307" s="25"/>
      <c r="E307" s="25"/>
      <c r="F307" s="25" t="s">
        <v>603</v>
      </c>
      <c r="G307" s="25"/>
      <c r="H307" s="25"/>
      <c r="I307" s="25" t="s">
        <v>604</v>
      </c>
      <c r="J307" s="25"/>
      <c r="K307" s="25"/>
      <c r="L307" s="25" t="s">
        <v>605</v>
      </c>
      <c r="M307" s="25"/>
      <c r="N307" s="25"/>
      <c r="O307" s="18"/>
      <c r="P307" s="27"/>
      <c r="Q307" s="29"/>
      <c r="R307" s="30"/>
      <c r="U307">
        <v>305</v>
      </c>
      <c r="V307" s="9">
        <v>1</v>
      </c>
      <c r="W307" s="46"/>
    </row>
    <row r="308" spans="2:23" ht="40" customHeight="1">
      <c r="B308" s="14">
        <v>153</v>
      </c>
      <c r="C308" s="16" t="s">
        <v>739</v>
      </c>
      <c r="D308" s="16"/>
      <c r="E308" s="16"/>
      <c r="F308" s="16"/>
      <c r="G308" s="16"/>
      <c r="H308" s="16"/>
      <c r="I308" s="16"/>
      <c r="J308" s="16"/>
      <c r="K308" s="16"/>
      <c r="L308" s="16"/>
      <c r="M308" s="16"/>
      <c r="N308" s="16"/>
      <c r="O308" s="17"/>
      <c r="P308" s="19" t="str">
        <f t="shared" ref="P308" si="325">Q308</f>
        <v>×</v>
      </c>
      <c r="Q308" s="28" t="str">
        <f t="shared" ref="Q308" si="326">IF(O308=R308,$S$3,$T$3)</f>
        <v>×</v>
      </c>
      <c r="R308" s="23" t="s">
        <v>290</v>
      </c>
      <c r="U308">
        <v>306</v>
      </c>
      <c r="V308" s="9">
        <v>2</v>
      </c>
      <c r="W308" s="46">
        <f t="shared" ref="W308" si="327">IF(O308=R308,1,0)</f>
        <v>0</v>
      </c>
    </row>
    <row r="309" spans="2:23" ht="40" customHeight="1">
      <c r="B309" s="15"/>
      <c r="C309" s="25" t="s">
        <v>740</v>
      </c>
      <c r="D309" s="25"/>
      <c r="E309" s="25"/>
      <c r="F309" s="25" t="s">
        <v>741</v>
      </c>
      <c r="G309" s="25"/>
      <c r="H309" s="25"/>
      <c r="I309" s="25" t="s">
        <v>742</v>
      </c>
      <c r="J309" s="25"/>
      <c r="K309" s="25"/>
      <c r="L309" s="25" t="s">
        <v>743</v>
      </c>
      <c r="M309" s="25"/>
      <c r="N309" s="25"/>
      <c r="O309" s="18"/>
      <c r="P309" s="27"/>
      <c r="Q309" s="29"/>
      <c r="R309" s="30"/>
      <c r="U309">
        <v>307</v>
      </c>
      <c r="V309" s="9">
        <v>1</v>
      </c>
      <c r="W309" s="46"/>
    </row>
    <row r="310" spans="2:23" ht="40" customHeight="1">
      <c r="B310" s="14">
        <v>154</v>
      </c>
      <c r="C310" s="16" t="s">
        <v>744</v>
      </c>
      <c r="D310" s="16"/>
      <c r="E310" s="16"/>
      <c r="F310" s="16"/>
      <c r="G310" s="16"/>
      <c r="H310" s="16"/>
      <c r="I310" s="16"/>
      <c r="J310" s="16"/>
      <c r="K310" s="16"/>
      <c r="L310" s="16"/>
      <c r="M310" s="16"/>
      <c r="N310" s="16"/>
      <c r="O310" s="17"/>
      <c r="P310" s="19" t="str">
        <f t="shared" ref="P310" si="328">Q310</f>
        <v>×</v>
      </c>
      <c r="Q310" s="28" t="str">
        <f t="shared" ref="Q310" si="329">IF(O310=R310,$S$3,$T$3)</f>
        <v>×</v>
      </c>
      <c r="R310" s="23" t="s">
        <v>288</v>
      </c>
      <c r="U310">
        <v>308</v>
      </c>
      <c r="V310" s="9">
        <v>2</v>
      </c>
      <c r="W310" s="46">
        <f t="shared" ref="W310" si="330">IF(O310=R310,1,0)</f>
        <v>0</v>
      </c>
    </row>
    <row r="311" spans="2:23" ht="40" customHeight="1">
      <c r="B311" s="15"/>
      <c r="C311" s="25" t="s">
        <v>745</v>
      </c>
      <c r="D311" s="25"/>
      <c r="E311" s="25"/>
      <c r="F311" s="25" t="s">
        <v>746</v>
      </c>
      <c r="G311" s="25"/>
      <c r="H311" s="25"/>
      <c r="I311" s="25" t="s">
        <v>747</v>
      </c>
      <c r="J311" s="25"/>
      <c r="K311" s="25"/>
      <c r="L311" s="25" t="s">
        <v>748</v>
      </c>
      <c r="M311" s="25"/>
      <c r="N311" s="25"/>
      <c r="O311" s="18"/>
      <c r="P311" s="27"/>
      <c r="Q311" s="29"/>
      <c r="R311" s="30"/>
      <c r="U311">
        <v>309</v>
      </c>
      <c r="V311" s="9">
        <v>1</v>
      </c>
      <c r="W311" s="46"/>
    </row>
    <row r="312" spans="2:23" ht="40" customHeight="1">
      <c r="B312" s="14">
        <v>155</v>
      </c>
      <c r="C312" s="16" t="s">
        <v>749</v>
      </c>
      <c r="D312" s="16"/>
      <c r="E312" s="16"/>
      <c r="F312" s="16"/>
      <c r="G312" s="16"/>
      <c r="H312" s="16"/>
      <c r="I312" s="16"/>
      <c r="J312" s="16"/>
      <c r="K312" s="16"/>
      <c r="L312" s="16"/>
      <c r="M312" s="16"/>
      <c r="N312" s="16"/>
      <c r="O312" s="17"/>
      <c r="P312" s="19" t="str">
        <f t="shared" ref="P312" si="331">Q312</f>
        <v>×</v>
      </c>
      <c r="Q312" s="28" t="str">
        <f t="shared" ref="Q312" si="332">IF(O312=R312,$S$3,$T$3)</f>
        <v>×</v>
      </c>
      <c r="R312" s="23" t="s">
        <v>287</v>
      </c>
      <c r="U312">
        <v>310</v>
      </c>
      <c r="V312" s="9">
        <v>2</v>
      </c>
      <c r="W312" s="46">
        <f t="shared" ref="W312" si="333">IF(O312=R312,1,0)</f>
        <v>0</v>
      </c>
    </row>
    <row r="313" spans="2:23" ht="40" customHeight="1">
      <c r="B313" s="15"/>
      <c r="C313" s="25" t="s">
        <v>597</v>
      </c>
      <c r="D313" s="25"/>
      <c r="E313" s="25"/>
      <c r="F313" s="25" t="s">
        <v>750</v>
      </c>
      <c r="G313" s="25"/>
      <c r="H313" s="25"/>
      <c r="I313" s="25" t="s">
        <v>599</v>
      </c>
      <c r="J313" s="25"/>
      <c r="K313" s="25"/>
      <c r="L313" s="25" t="s">
        <v>600</v>
      </c>
      <c r="M313" s="25"/>
      <c r="N313" s="25"/>
      <c r="O313" s="18"/>
      <c r="P313" s="27"/>
      <c r="Q313" s="29"/>
      <c r="R313" s="30"/>
      <c r="U313">
        <v>311</v>
      </c>
      <c r="V313" s="9">
        <v>1</v>
      </c>
      <c r="W313" s="46"/>
    </row>
    <row r="314" spans="2:23" ht="40" customHeight="1">
      <c r="B314" s="14">
        <v>156</v>
      </c>
      <c r="C314" s="16" t="s">
        <v>751</v>
      </c>
      <c r="D314" s="16"/>
      <c r="E314" s="16"/>
      <c r="F314" s="16"/>
      <c r="G314" s="16"/>
      <c r="H314" s="16"/>
      <c r="I314" s="16"/>
      <c r="J314" s="16"/>
      <c r="K314" s="16"/>
      <c r="L314" s="16"/>
      <c r="M314" s="16"/>
      <c r="N314" s="16"/>
      <c r="O314" s="17"/>
      <c r="P314" s="19" t="str">
        <f t="shared" ref="P314" si="334">Q314</f>
        <v>×</v>
      </c>
      <c r="Q314" s="28" t="str">
        <f t="shared" ref="Q314" si="335">IF(O314=R314,$S$3,$T$3)</f>
        <v>×</v>
      </c>
      <c r="R314" s="23" t="s">
        <v>287</v>
      </c>
      <c r="U314">
        <v>312</v>
      </c>
      <c r="V314" s="9">
        <v>2</v>
      </c>
      <c r="W314" s="46">
        <f t="shared" ref="W314" si="336">IF(O314=R314,1,0)</f>
        <v>0</v>
      </c>
    </row>
    <row r="315" spans="2:23" ht="40" customHeight="1">
      <c r="B315" s="15"/>
      <c r="C315" s="25" t="s">
        <v>752</v>
      </c>
      <c r="D315" s="25"/>
      <c r="E315" s="25"/>
      <c r="F315" s="25" t="s">
        <v>753</v>
      </c>
      <c r="G315" s="25"/>
      <c r="H315" s="25"/>
      <c r="I315" s="25" t="s">
        <v>754</v>
      </c>
      <c r="J315" s="25"/>
      <c r="K315" s="25"/>
      <c r="L315" s="25" t="s">
        <v>755</v>
      </c>
      <c r="M315" s="25"/>
      <c r="N315" s="25"/>
      <c r="O315" s="18"/>
      <c r="P315" s="27"/>
      <c r="Q315" s="29"/>
      <c r="R315" s="30"/>
      <c r="U315">
        <v>313</v>
      </c>
      <c r="V315" s="9">
        <v>1</v>
      </c>
      <c r="W315" s="46"/>
    </row>
    <row r="316" spans="2:23" ht="40" customHeight="1">
      <c r="B316" s="14">
        <v>157</v>
      </c>
      <c r="C316" s="16" t="s">
        <v>756</v>
      </c>
      <c r="D316" s="16"/>
      <c r="E316" s="16"/>
      <c r="F316" s="16"/>
      <c r="G316" s="16"/>
      <c r="H316" s="16"/>
      <c r="I316" s="16"/>
      <c r="J316" s="16"/>
      <c r="K316" s="16"/>
      <c r="L316" s="16"/>
      <c r="M316" s="16"/>
      <c r="N316" s="16"/>
      <c r="O316" s="17"/>
      <c r="P316" s="19" t="str">
        <f t="shared" ref="P316" si="337">Q316</f>
        <v>×</v>
      </c>
      <c r="Q316" s="28" t="str">
        <f t="shared" ref="Q316" si="338">IF(O316=R316,$S$3,$T$3)</f>
        <v>×</v>
      </c>
      <c r="R316" s="23" t="s">
        <v>289</v>
      </c>
      <c r="U316">
        <v>314</v>
      </c>
      <c r="V316" s="9">
        <v>2</v>
      </c>
      <c r="W316" s="46">
        <f t="shared" ref="W316" si="339">IF(O316=R316,1,0)</f>
        <v>0</v>
      </c>
    </row>
    <row r="317" spans="2:23" ht="40" customHeight="1">
      <c r="B317" s="15"/>
      <c r="C317" s="25" t="s">
        <v>757</v>
      </c>
      <c r="D317" s="25"/>
      <c r="E317" s="25"/>
      <c r="F317" s="25" t="s">
        <v>758</v>
      </c>
      <c r="G317" s="25"/>
      <c r="H317" s="25"/>
      <c r="I317" s="25" t="s">
        <v>759</v>
      </c>
      <c r="J317" s="25"/>
      <c r="K317" s="25"/>
      <c r="L317" s="25" t="s">
        <v>760</v>
      </c>
      <c r="M317" s="25"/>
      <c r="N317" s="25"/>
      <c r="O317" s="18"/>
      <c r="P317" s="27"/>
      <c r="Q317" s="29"/>
      <c r="R317" s="30"/>
      <c r="U317">
        <v>315</v>
      </c>
      <c r="V317" s="9">
        <v>1</v>
      </c>
      <c r="W317" s="46"/>
    </row>
    <row r="318" spans="2:23" ht="40" customHeight="1">
      <c r="B318" s="14">
        <v>158</v>
      </c>
      <c r="C318" s="16" t="s">
        <v>761</v>
      </c>
      <c r="D318" s="16"/>
      <c r="E318" s="16"/>
      <c r="F318" s="16"/>
      <c r="G318" s="16"/>
      <c r="H318" s="16"/>
      <c r="I318" s="16"/>
      <c r="J318" s="16"/>
      <c r="K318" s="16"/>
      <c r="L318" s="16"/>
      <c r="M318" s="16"/>
      <c r="N318" s="16"/>
      <c r="O318" s="17"/>
      <c r="P318" s="19" t="str">
        <f t="shared" ref="P318" si="340">Q318</f>
        <v>×</v>
      </c>
      <c r="Q318" s="28" t="str">
        <f t="shared" ref="Q318" si="341">IF(O318=R318,$S$3,$T$3)</f>
        <v>×</v>
      </c>
      <c r="R318" s="23" t="s">
        <v>287</v>
      </c>
      <c r="U318">
        <v>316</v>
      </c>
      <c r="V318" s="9">
        <v>2</v>
      </c>
      <c r="W318" s="46">
        <f t="shared" ref="W318" si="342">IF(O318=R318,1,0)</f>
        <v>0</v>
      </c>
    </row>
    <row r="319" spans="2:23" ht="40" customHeight="1">
      <c r="B319" s="15"/>
      <c r="C319" s="25" t="s">
        <v>422</v>
      </c>
      <c r="D319" s="25"/>
      <c r="E319" s="25"/>
      <c r="F319" s="25" t="s">
        <v>762</v>
      </c>
      <c r="G319" s="25"/>
      <c r="H319" s="25"/>
      <c r="I319" s="25" t="s">
        <v>763</v>
      </c>
      <c r="J319" s="25"/>
      <c r="K319" s="25"/>
      <c r="L319" s="25" t="s">
        <v>520</v>
      </c>
      <c r="M319" s="25"/>
      <c r="N319" s="25"/>
      <c r="O319" s="18"/>
      <c r="P319" s="27"/>
      <c r="Q319" s="29"/>
      <c r="R319" s="30"/>
      <c r="U319">
        <v>317</v>
      </c>
      <c r="V319" s="9">
        <v>1</v>
      </c>
      <c r="W319" s="46"/>
    </row>
    <row r="320" spans="2:23" ht="40" customHeight="1">
      <c r="B320" s="14">
        <v>159</v>
      </c>
      <c r="C320" s="16" t="s">
        <v>764</v>
      </c>
      <c r="D320" s="16"/>
      <c r="E320" s="16"/>
      <c r="F320" s="16"/>
      <c r="G320" s="16"/>
      <c r="H320" s="16"/>
      <c r="I320" s="16"/>
      <c r="J320" s="16"/>
      <c r="K320" s="16"/>
      <c r="L320" s="16"/>
      <c r="M320" s="16"/>
      <c r="N320" s="16"/>
      <c r="O320" s="17"/>
      <c r="P320" s="19" t="str">
        <f t="shared" ref="P320" si="343">Q320</f>
        <v>×</v>
      </c>
      <c r="Q320" s="28" t="str">
        <f t="shared" ref="Q320" si="344">IF(O320=R320,$S$3,$T$3)</f>
        <v>×</v>
      </c>
      <c r="R320" s="23" t="s">
        <v>288</v>
      </c>
      <c r="U320">
        <v>318</v>
      </c>
      <c r="V320" s="9">
        <v>2</v>
      </c>
      <c r="W320" s="46">
        <f t="shared" ref="W320" si="345">IF(O320=R320,1,0)</f>
        <v>0</v>
      </c>
    </row>
    <row r="321" spans="2:23" ht="40" customHeight="1">
      <c r="B321" s="15"/>
      <c r="C321" s="25" t="s">
        <v>422</v>
      </c>
      <c r="D321" s="25"/>
      <c r="E321" s="25"/>
      <c r="F321" s="25" t="s">
        <v>762</v>
      </c>
      <c r="G321" s="25"/>
      <c r="H321" s="25"/>
      <c r="I321" s="25" t="s">
        <v>763</v>
      </c>
      <c r="J321" s="25"/>
      <c r="K321" s="25"/>
      <c r="L321" s="25" t="s">
        <v>520</v>
      </c>
      <c r="M321" s="25"/>
      <c r="N321" s="25"/>
      <c r="O321" s="18"/>
      <c r="P321" s="27"/>
      <c r="Q321" s="29"/>
      <c r="R321" s="30"/>
      <c r="U321">
        <v>319</v>
      </c>
      <c r="V321" s="9">
        <v>1</v>
      </c>
      <c r="W321" s="46"/>
    </row>
    <row r="322" spans="2:23" ht="40" customHeight="1">
      <c r="B322" s="14">
        <v>160</v>
      </c>
      <c r="C322" s="16" t="s">
        <v>765</v>
      </c>
      <c r="D322" s="16"/>
      <c r="E322" s="16"/>
      <c r="F322" s="16"/>
      <c r="G322" s="16"/>
      <c r="H322" s="16"/>
      <c r="I322" s="16"/>
      <c r="J322" s="16"/>
      <c r="K322" s="16"/>
      <c r="L322" s="16"/>
      <c r="M322" s="16"/>
      <c r="N322" s="16"/>
      <c r="O322" s="17"/>
      <c r="P322" s="19" t="str">
        <f t="shared" ref="P322" si="346">Q322</f>
        <v>×</v>
      </c>
      <c r="Q322" s="28" t="str">
        <f t="shared" ref="Q322" si="347">IF(O322=R322,$S$3,$T$3)</f>
        <v>×</v>
      </c>
      <c r="R322" s="23" t="s">
        <v>290</v>
      </c>
      <c r="U322">
        <v>320</v>
      </c>
      <c r="V322" s="9">
        <v>2</v>
      </c>
      <c r="W322" s="46">
        <f t="shared" ref="W322" si="348">IF(O322=R322,1,0)</f>
        <v>0</v>
      </c>
    </row>
    <row r="323" spans="2:23" ht="40" customHeight="1">
      <c r="B323" s="15"/>
      <c r="C323" s="25" t="s">
        <v>766</v>
      </c>
      <c r="D323" s="25"/>
      <c r="E323" s="25"/>
      <c r="F323" s="25" t="s">
        <v>758</v>
      </c>
      <c r="G323" s="25"/>
      <c r="H323" s="25"/>
      <c r="I323" s="25" t="s">
        <v>767</v>
      </c>
      <c r="J323" s="25"/>
      <c r="K323" s="25"/>
      <c r="L323" s="25" t="s">
        <v>615</v>
      </c>
      <c r="M323" s="25"/>
      <c r="N323" s="25"/>
      <c r="O323" s="18"/>
      <c r="P323" s="27"/>
      <c r="Q323" s="29"/>
      <c r="R323" s="30"/>
      <c r="U323">
        <v>321</v>
      </c>
      <c r="V323" s="9">
        <v>1</v>
      </c>
      <c r="W323" s="46"/>
    </row>
    <row r="324" spans="2:23" ht="40" customHeight="1">
      <c r="B324" s="14">
        <v>161</v>
      </c>
      <c r="C324" s="16" t="s">
        <v>768</v>
      </c>
      <c r="D324" s="16"/>
      <c r="E324" s="16"/>
      <c r="F324" s="16"/>
      <c r="G324" s="16"/>
      <c r="H324" s="16"/>
      <c r="I324" s="16"/>
      <c r="J324" s="16"/>
      <c r="K324" s="16"/>
      <c r="L324" s="16"/>
      <c r="M324" s="16"/>
      <c r="N324" s="16"/>
      <c r="O324" s="17"/>
      <c r="P324" s="19" t="str">
        <f t="shared" ref="P324" si="349">Q324</f>
        <v>×</v>
      </c>
      <c r="Q324" s="28" t="str">
        <f t="shared" ref="Q324" si="350">IF(O324=R324,$S$3,$T$3)</f>
        <v>×</v>
      </c>
      <c r="R324" s="23" t="s">
        <v>289</v>
      </c>
      <c r="U324">
        <v>322</v>
      </c>
      <c r="V324" s="9">
        <v>2</v>
      </c>
      <c r="W324" s="46">
        <f t="shared" ref="W324" si="351">IF(O324=R324,1,0)</f>
        <v>0</v>
      </c>
    </row>
    <row r="325" spans="2:23" ht="40" customHeight="1">
      <c r="B325" s="15"/>
      <c r="C325" s="25" t="s">
        <v>709</v>
      </c>
      <c r="D325" s="25"/>
      <c r="E325" s="25"/>
      <c r="F325" s="25" t="s">
        <v>769</v>
      </c>
      <c r="G325" s="25"/>
      <c r="H325" s="25"/>
      <c r="I325" s="25" t="s">
        <v>770</v>
      </c>
      <c r="J325" s="25"/>
      <c r="K325" s="25"/>
      <c r="L325" s="25" t="s">
        <v>771</v>
      </c>
      <c r="M325" s="25"/>
      <c r="N325" s="25"/>
      <c r="O325" s="18"/>
      <c r="P325" s="27"/>
      <c r="Q325" s="29"/>
      <c r="R325" s="30"/>
      <c r="U325">
        <v>323</v>
      </c>
      <c r="V325" s="9">
        <v>1</v>
      </c>
      <c r="W325" s="46"/>
    </row>
    <row r="326" spans="2:23" ht="40" customHeight="1">
      <c r="B326" s="14">
        <v>162</v>
      </c>
      <c r="C326" s="16" t="s">
        <v>772</v>
      </c>
      <c r="D326" s="16"/>
      <c r="E326" s="16"/>
      <c r="F326" s="16"/>
      <c r="G326" s="16"/>
      <c r="H326" s="16"/>
      <c r="I326" s="16"/>
      <c r="J326" s="16"/>
      <c r="K326" s="16"/>
      <c r="L326" s="16"/>
      <c r="M326" s="16"/>
      <c r="N326" s="16"/>
      <c r="O326" s="17"/>
      <c r="P326" s="19" t="str">
        <f t="shared" ref="P326" si="352">Q326</f>
        <v>×</v>
      </c>
      <c r="Q326" s="28" t="str">
        <f t="shared" ref="Q326" si="353">IF(O326=R326,$S$3,$T$3)</f>
        <v>×</v>
      </c>
      <c r="R326" s="23" t="s">
        <v>290</v>
      </c>
      <c r="U326">
        <v>324</v>
      </c>
      <c r="V326" s="9">
        <v>2</v>
      </c>
      <c r="W326" s="46">
        <f t="shared" ref="W326" si="354">IF(O326=R326,1,0)</f>
        <v>0</v>
      </c>
    </row>
    <row r="327" spans="2:23" ht="40" customHeight="1">
      <c r="B327" s="15"/>
      <c r="C327" s="25" t="s">
        <v>773</v>
      </c>
      <c r="D327" s="25"/>
      <c r="E327" s="25"/>
      <c r="F327" s="25" t="s">
        <v>774</v>
      </c>
      <c r="G327" s="25"/>
      <c r="H327" s="25"/>
      <c r="I327" s="25" t="s">
        <v>775</v>
      </c>
      <c r="J327" s="25"/>
      <c r="K327" s="25"/>
      <c r="L327" s="25" t="s">
        <v>776</v>
      </c>
      <c r="M327" s="25"/>
      <c r="N327" s="25"/>
      <c r="O327" s="18"/>
      <c r="P327" s="27"/>
      <c r="Q327" s="29"/>
      <c r="R327" s="30"/>
      <c r="U327">
        <v>325</v>
      </c>
      <c r="V327" s="9">
        <v>1</v>
      </c>
      <c r="W327" s="46"/>
    </row>
    <row r="328" spans="2:23" ht="40" customHeight="1">
      <c r="B328" s="14">
        <v>163</v>
      </c>
      <c r="C328" s="16" t="s">
        <v>777</v>
      </c>
      <c r="D328" s="16"/>
      <c r="E328" s="16"/>
      <c r="F328" s="16"/>
      <c r="G328" s="16"/>
      <c r="H328" s="16"/>
      <c r="I328" s="16"/>
      <c r="J328" s="16"/>
      <c r="K328" s="16"/>
      <c r="L328" s="16"/>
      <c r="M328" s="16"/>
      <c r="N328" s="16"/>
      <c r="O328" s="17"/>
      <c r="P328" s="19" t="str">
        <f t="shared" ref="P328" si="355">Q328</f>
        <v>×</v>
      </c>
      <c r="Q328" s="28" t="str">
        <f t="shared" ref="Q328" si="356">IF(O328=R328,$S$3,$T$3)</f>
        <v>×</v>
      </c>
      <c r="R328" s="23" t="s">
        <v>289</v>
      </c>
      <c r="U328">
        <v>326</v>
      </c>
      <c r="V328" s="9">
        <v>2</v>
      </c>
      <c r="W328" s="46">
        <f t="shared" ref="W328" si="357">IF(O328=R328,1,0)</f>
        <v>0</v>
      </c>
    </row>
    <row r="329" spans="2:23" ht="40" customHeight="1">
      <c r="B329" s="15"/>
      <c r="C329" s="25" t="s">
        <v>778</v>
      </c>
      <c r="D329" s="25"/>
      <c r="E329" s="25"/>
      <c r="F329" s="25" t="s">
        <v>779</v>
      </c>
      <c r="G329" s="25"/>
      <c r="H329" s="25"/>
      <c r="I329" s="25" t="s">
        <v>780</v>
      </c>
      <c r="J329" s="25"/>
      <c r="K329" s="25"/>
      <c r="L329" s="25" t="s">
        <v>781</v>
      </c>
      <c r="M329" s="25"/>
      <c r="N329" s="25"/>
      <c r="O329" s="18"/>
      <c r="P329" s="27"/>
      <c r="Q329" s="29"/>
      <c r="R329" s="30"/>
      <c r="U329">
        <v>327</v>
      </c>
      <c r="V329" s="9">
        <v>1</v>
      </c>
      <c r="W329" s="46"/>
    </row>
    <row r="330" spans="2:23" ht="40" customHeight="1">
      <c r="B330" s="14">
        <v>164</v>
      </c>
      <c r="C330" s="16" t="s">
        <v>782</v>
      </c>
      <c r="D330" s="16"/>
      <c r="E330" s="16"/>
      <c r="F330" s="16"/>
      <c r="G330" s="16"/>
      <c r="H330" s="16"/>
      <c r="I330" s="16"/>
      <c r="J330" s="16"/>
      <c r="K330" s="16"/>
      <c r="L330" s="16"/>
      <c r="M330" s="16"/>
      <c r="N330" s="16"/>
      <c r="O330" s="17"/>
      <c r="P330" s="19" t="str">
        <f t="shared" ref="P330" si="358">Q330</f>
        <v>×</v>
      </c>
      <c r="Q330" s="28" t="str">
        <f t="shared" ref="Q330" si="359">IF(O330=R330,$S$3,$T$3)</f>
        <v>×</v>
      </c>
      <c r="R330" s="23" t="s">
        <v>289</v>
      </c>
      <c r="U330">
        <v>328</v>
      </c>
      <c r="V330" s="9">
        <v>2</v>
      </c>
      <c r="W330" s="46">
        <f t="shared" ref="W330" si="360">IF(O330=R330,1,0)</f>
        <v>0</v>
      </c>
    </row>
    <row r="331" spans="2:23" ht="40" customHeight="1">
      <c r="B331" s="15"/>
      <c r="C331" s="25" t="s">
        <v>783</v>
      </c>
      <c r="D331" s="25"/>
      <c r="E331" s="25"/>
      <c r="F331" s="25" t="s">
        <v>784</v>
      </c>
      <c r="G331" s="25"/>
      <c r="H331" s="25"/>
      <c r="I331" s="25" t="s">
        <v>785</v>
      </c>
      <c r="J331" s="25"/>
      <c r="K331" s="25"/>
      <c r="L331" s="25" t="s">
        <v>786</v>
      </c>
      <c r="M331" s="25"/>
      <c r="N331" s="25"/>
      <c r="O331" s="18"/>
      <c r="P331" s="27"/>
      <c r="Q331" s="29"/>
      <c r="R331" s="30"/>
      <c r="U331">
        <v>329</v>
      </c>
      <c r="V331" s="9">
        <v>1</v>
      </c>
      <c r="W331" s="46"/>
    </row>
    <row r="332" spans="2:23" ht="40" customHeight="1">
      <c r="B332" s="14">
        <v>165</v>
      </c>
      <c r="C332" s="40" t="s">
        <v>787</v>
      </c>
      <c r="D332" s="40"/>
      <c r="E332" s="40"/>
      <c r="F332" s="40"/>
      <c r="G332" s="40"/>
      <c r="H332" s="40"/>
      <c r="I332" s="40"/>
      <c r="J332" s="40"/>
      <c r="K332" s="40"/>
      <c r="L332" s="40"/>
      <c r="M332" s="40"/>
      <c r="N332" s="40"/>
      <c r="O332" s="17"/>
      <c r="P332" s="19" t="str">
        <f t="shared" ref="P332" si="361">Q332</f>
        <v>×</v>
      </c>
      <c r="Q332" s="28" t="str">
        <f t="shared" ref="Q332" si="362">IF(O332=R332,$S$3,$T$3)</f>
        <v>×</v>
      </c>
      <c r="R332" s="23" t="s">
        <v>287</v>
      </c>
      <c r="U332">
        <v>330</v>
      </c>
      <c r="V332" s="9">
        <v>2</v>
      </c>
      <c r="W332" s="46">
        <f t="shared" ref="W332" si="363">IF(O332=R332,1,0)</f>
        <v>0</v>
      </c>
    </row>
    <row r="333" spans="2:23" ht="40" customHeight="1">
      <c r="B333" s="15"/>
      <c r="C333" s="25" t="s">
        <v>788</v>
      </c>
      <c r="D333" s="25"/>
      <c r="E333" s="25"/>
      <c r="F333" s="25" t="s">
        <v>789</v>
      </c>
      <c r="G333" s="25"/>
      <c r="H333" s="25"/>
      <c r="I333" s="25" t="s">
        <v>790</v>
      </c>
      <c r="J333" s="25"/>
      <c r="K333" s="25"/>
      <c r="L333" s="25" t="s">
        <v>791</v>
      </c>
      <c r="M333" s="25"/>
      <c r="N333" s="25"/>
      <c r="O333" s="18"/>
      <c r="P333" s="27"/>
      <c r="Q333" s="29"/>
      <c r="R333" s="30"/>
      <c r="U333">
        <v>331</v>
      </c>
      <c r="V333" s="9">
        <v>1</v>
      </c>
      <c r="W333" s="46"/>
    </row>
    <row r="334" spans="2:23" ht="40" customHeight="1">
      <c r="B334" s="14">
        <v>166</v>
      </c>
      <c r="C334" s="16" t="s">
        <v>792</v>
      </c>
      <c r="D334" s="16"/>
      <c r="E334" s="16"/>
      <c r="F334" s="16"/>
      <c r="G334" s="16"/>
      <c r="H334" s="16"/>
      <c r="I334" s="16"/>
      <c r="J334" s="16"/>
      <c r="K334" s="16"/>
      <c r="L334" s="16"/>
      <c r="M334" s="16"/>
      <c r="N334" s="16"/>
      <c r="O334" s="17"/>
      <c r="P334" s="19" t="str">
        <f t="shared" ref="P334" si="364">Q334</f>
        <v>×</v>
      </c>
      <c r="Q334" s="28" t="str">
        <f t="shared" ref="Q334" si="365">IF(O334=R334,$S$3,$T$3)</f>
        <v>×</v>
      </c>
      <c r="R334" s="23" t="s">
        <v>288</v>
      </c>
      <c r="U334">
        <v>332</v>
      </c>
      <c r="V334" s="9">
        <v>2</v>
      </c>
      <c r="W334" s="46">
        <f t="shared" ref="W334" si="366">IF(O334=R334,1,0)</f>
        <v>0</v>
      </c>
    </row>
    <row r="335" spans="2:23" ht="40" customHeight="1">
      <c r="B335" s="15"/>
      <c r="C335" s="25" t="s">
        <v>793</v>
      </c>
      <c r="D335" s="25"/>
      <c r="E335" s="25"/>
      <c r="F335" s="25" t="s">
        <v>794</v>
      </c>
      <c r="G335" s="25"/>
      <c r="H335" s="25"/>
      <c r="I335" s="25" t="s">
        <v>795</v>
      </c>
      <c r="J335" s="25"/>
      <c r="K335" s="25"/>
      <c r="L335" s="25" t="s">
        <v>796</v>
      </c>
      <c r="M335" s="25"/>
      <c r="N335" s="25"/>
      <c r="O335" s="18"/>
      <c r="P335" s="27"/>
      <c r="Q335" s="29"/>
      <c r="R335" s="30"/>
      <c r="U335">
        <v>333</v>
      </c>
      <c r="V335" s="9">
        <v>1</v>
      </c>
      <c r="W335" s="46"/>
    </row>
    <row r="336" spans="2:23" ht="40" customHeight="1">
      <c r="B336" s="14">
        <v>167</v>
      </c>
      <c r="C336" s="16" t="s">
        <v>797</v>
      </c>
      <c r="D336" s="16"/>
      <c r="E336" s="16"/>
      <c r="F336" s="16"/>
      <c r="G336" s="16"/>
      <c r="H336" s="16"/>
      <c r="I336" s="16"/>
      <c r="J336" s="16"/>
      <c r="K336" s="16"/>
      <c r="L336" s="16"/>
      <c r="M336" s="16"/>
      <c r="N336" s="16"/>
      <c r="O336" s="17"/>
      <c r="P336" s="19" t="str">
        <f t="shared" ref="P336" si="367">Q336</f>
        <v>×</v>
      </c>
      <c r="Q336" s="28" t="str">
        <f t="shared" ref="Q336" si="368">IF(O336=R336,$S$3,$T$3)</f>
        <v>×</v>
      </c>
      <c r="R336" s="23" t="s">
        <v>287</v>
      </c>
      <c r="U336">
        <v>334</v>
      </c>
      <c r="V336" s="9">
        <v>2</v>
      </c>
      <c r="W336" s="46">
        <f t="shared" ref="W336" si="369">IF(O336=R336,1,0)</f>
        <v>0</v>
      </c>
    </row>
    <row r="337" spans="2:23" ht="40" customHeight="1">
      <c r="B337" s="15"/>
      <c r="C337" s="25" t="s">
        <v>798</v>
      </c>
      <c r="D337" s="25"/>
      <c r="E337" s="25"/>
      <c r="F337" s="25" t="s">
        <v>799</v>
      </c>
      <c r="G337" s="25"/>
      <c r="H337" s="25"/>
      <c r="I337" s="25" t="s">
        <v>800</v>
      </c>
      <c r="J337" s="25"/>
      <c r="K337" s="25"/>
      <c r="L337" s="25" t="s">
        <v>801</v>
      </c>
      <c r="M337" s="25"/>
      <c r="N337" s="25"/>
      <c r="O337" s="18"/>
      <c r="P337" s="27"/>
      <c r="Q337" s="29"/>
      <c r="R337" s="30"/>
      <c r="U337">
        <v>335</v>
      </c>
      <c r="V337" s="9">
        <v>1</v>
      </c>
      <c r="W337" s="46"/>
    </row>
    <row r="338" spans="2:23" ht="40" customHeight="1">
      <c r="B338" s="14">
        <v>168</v>
      </c>
      <c r="C338" s="16" t="s">
        <v>802</v>
      </c>
      <c r="D338" s="16"/>
      <c r="E338" s="16"/>
      <c r="F338" s="16"/>
      <c r="G338" s="16"/>
      <c r="H338" s="16"/>
      <c r="I338" s="16"/>
      <c r="J338" s="16"/>
      <c r="K338" s="16"/>
      <c r="L338" s="16"/>
      <c r="M338" s="16"/>
      <c r="N338" s="16"/>
      <c r="O338" s="17"/>
      <c r="P338" s="19" t="str">
        <f t="shared" ref="P338" si="370">Q338</f>
        <v>×</v>
      </c>
      <c r="Q338" s="28" t="str">
        <f t="shared" ref="Q338" si="371">IF(O338=R338,$S$3,$T$3)</f>
        <v>×</v>
      </c>
      <c r="R338" s="23" t="s">
        <v>287</v>
      </c>
      <c r="U338">
        <v>336</v>
      </c>
      <c r="V338" s="9">
        <v>2</v>
      </c>
      <c r="W338" s="46">
        <f t="shared" ref="W338" si="372">IF(O338=R338,1,0)</f>
        <v>0</v>
      </c>
    </row>
    <row r="339" spans="2:23" ht="40" customHeight="1">
      <c r="B339" s="15"/>
      <c r="C339" s="25" t="s">
        <v>803</v>
      </c>
      <c r="D339" s="25"/>
      <c r="E339" s="25"/>
      <c r="F339" s="25" t="s">
        <v>804</v>
      </c>
      <c r="G339" s="25"/>
      <c r="H339" s="25"/>
      <c r="I339" s="25" t="s">
        <v>805</v>
      </c>
      <c r="J339" s="25"/>
      <c r="K339" s="25"/>
      <c r="L339" s="25" t="s">
        <v>806</v>
      </c>
      <c r="M339" s="25"/>
      <c r="N339" s="25"/>
      <c r="O339" s="18"/>
      <c r="P339" s="27"/>
      <c r="Q339" s="29"/>
      <c r="R339" s="30"/>
      <c r="U339">
        <v>337</v>
      </c>
      <c r="V339" s="9">
        <v>1</v>
      </c>
      <c r="W339" s="46"/>
    </row>
    <row r="340" spans="2:23" ht="40" customHeight="1">
      <c r="B340" s="14">
        <v>169</v>
      </c>
      <c r="C340" s="40" t="s">
        <v>807</v>
      </c>
      <c r="D340" s="40"/>
      <c r="E340" s="40"/>
      <c r="F340" s="40"/>
      <c r="G340" s="40"/>
      <c r="H340" s="40"/>
      <c r="I340" s="40"/>
      <c r="J340" s="40"/>
      <c r="K340" s="40"/>
      <c r="L340" s="40"/>
      <c r="M340" s="40"/>
      <c r="N340" s="40"/>
      <c r="O340" s="17"/>
      <c r="P340" s="19" t="str">
        <f t="shared" ref="P340" si="373">Q340</f>
        <v>×</v>
      </c>
      <c r="Q340" s="28" t="str">
        <f t="shared" ref="Q340" si="374">IF(O340=R340,$S$3,$T$3)</f>
        <v>×</v>
      </c>
      <c r="R340" s="23" t="s">
        <v>289</v>
      </c>
      <c r="U340">
        <v>338</v>
      </c>
      <c r="V340" s="9">
        <v>2</v>
      </c>
      <c r="W340" s="46">
        <f t="shared" ref="W340" si="375">IF(O340=R340,1,0)</f>
        <v>0</v>
      </c>
    </row>
    <row r="341" spans="2:23" ht="40" customHeight="1">
      <c r="B341" s="15"/>
      <c r="C341" s="25" t="s">
        <v>808</v>
      </c>
      <c r="D341" s="25"/>
      <c r="E341" s="25"/>
      <c r="F341" s="25" t="s">
        <v>809</v>
      </c>
      <c r="G341" s="25"/>
      <c r="H341" s="25"/>
      <c r="I341" s="25" t="s">
        <v>810</v>
      </c>
      <c r="J341" s="25"/>
      <c r="K341" s="25"/>
      <c r="L341" s="25" t="s">
        <v>811</v>
      </c>
      <c r="M341" s="25"/>
      <c r="N341" s="25"/>
      <c r="O341" s="18"/>
      <c r="P341" s="27"/>
      <c r="Q341" s="29"/>
      <c r="R341" s="30"/>
      <c r="U341">
        <v>339</v>
      </c>
      <c r="V341" s="9">
        <v>1</v>
      </c>
      <c r="W341" s="46"/>
    </row>
    <row r="342" spans="2:23" ht="40" customHeight="1">
      <c r="B342" s="14">
        <v>170</v>
      </c>
      <c r="C342" s="37" t="s">
        <v>812</v>
      </c>
      <c r="D342" s="38"/>
      <c r="E342" s="38"/>
      <c r="F342" s="38"/>
      <c r="G342" s="38"/>
      <c r="H342" s="38"/>
      <c r="I342" s="38"/>
      <c r="J342" s="38"/>
      <c r="K342" s="38"/>
      <c r="L342" s="38"/>
      <c r="M342" s="38"/>
      <c r="N342" s="39"/>
      <c r="O342" s="17"/>
      <c r="P342" s="19" t="str">
        <f t="shared" ref="P342" si="376">Q342</f>
        <v>×</v>
      </c>
      <c r="Q342" s="28" t="str">
        <f t="shared" ref="Q342" si="377">IF(O342=R342,$S$3,$T$3)</f>
        <v>×</v>
      </c>
      <c r="R342" s="23" t="s">
        <v>287</v>
      </c>
      <c r="U342">
        <v>340</v>
      </c>
      <c r="V342" s="9">
        <v>2</v>
      </c>
      <c r="W342" s="46">
        <f t="shared" ref="W342" si="378">IF(O342=R342,1,0)</f>
        <v>0</v>
      </c>
    </row>
    <row r="343" spans="2:23" ht="40" customHeight="1">
      <c r="B343" s="15"/>
      <c r="C343" s="25" t="s">
        <v>813</v>
      </c>
      <c r="D343" s="25"/>
      <c r="E343" s="25"/>
      <c r="F343" s="25" t="s">
        <v>814</v>
      </c>
      <c r="G343" s="25"/>
      <c r="H343" s="25"/>
      <c r="I343" s="25" t="s">
        <v>815</v>
      </c>
      <c r="J343" s="25"/>
      <c r="K343" s="25"/>
      <c r="L343" s="25" t="s">
        <v>816</v>
      </c>
      <c r="M343" s="25"/>
      <c r="N343" s="25"/>
      <c r="O343" s="18"/>
      <c r="P343" s="27"/>
      <c r="Q343" s="29"/>
      <c r="R343" s="30"/>
      <c r="U343">
        <v>341</v>
      </c>
      <c r="V343" s="9">
        <v>1</v>
      </c>
      <c r="W343" s="46"/>
    </row>
    <row r="344" spans="2:23" ht="40" customHeight="1">
      <c r="B344" s="14">
        <v>171</v>
      </c>
      <c r="C344" s="16" t="s">
        <v>817</v>
      </c>
      <c r="D344" s="16"/>
      <c r="E344" s="16"/>
      <c r="F344" s="16"/>
      <c r="G344" s="16"/>
      <c r="H344" s="16"/>
      <c r="I344" s="16"/>
      <c r="J344" s="16"/>
      <c r="K344" s="16"/>
      <c r="L344" s="16"/>
      <c r="M344" s="16"/>
      <c r="N344" s="16"/>
      <c r="O344" s="17"/>
      <c r="P344" s="19" t="str">
        <f t="shared" ref="P344" si="379">Q344</f>
        <v>×</v>
      </c>
      <c r="Q344" s="28" t="str">
        <f t="shared" ref="Q344" si="380">IF(O344=R344,$S$3,$T$3)</f>
        <v>×</v>
      </c>
      <c r="R344" s="23" t="s">
        <v>287</v>
      </c>
      <c r="U344">
        <v>342</v>
      </c>
      <c r="V344" s="9">
        <v>2</v>
      </c>
      <c r="W344" s="46">
        <f t="shared" ref="W344" si="381">IF(O344=R344,1,0)</f>
        <v>0</v>
      </c>
    </row>
    <row r="345" spans="2:23" ht="40" customHeight="1">
      <c r="B345" s="15"/>
      <c r="C345" s="25" t="s">
        <v>818</v>
      </c>
      <c r="D345" s="25"/>
      <c r="E345" s="25"/>
      <c r="F345" s="25" t="s">
        <v>819</v>
      </c>
      <c r="G345" s="25"/>
      <c r="H345" s="25"/>
      <c r="I345" s="25" t="s">
        <v>820</v>
      </c>
      <c r="J345" s="25"/>
      <c r="K345" s="25"/>
      <c r="L345" s="25" t="s">
        <v>821</v>
      </c>
      <c r="M345" s="25"/>
      <c r="N345" s="25"/>
      <c r="O345" s="18"/>
      <c r="P345" s="27"/>
      <c r="Q345" s="29"/>
      <c r="R345" s="30"/>
      <c r="U345">
        <v>343</v>
      </c>
      <c r="V345" s="9">
        <v>1</v>
      </c>
      <c r="W345" s="46"/>
    </row>
    <row r="346" spans="2:23" ht="40" customHeight="1">
      <c r="B346" s="14">
        <v>172</v>
      </c>
      <c r="C346" s="16" t="s">
        <v>822</v>
      </c>
      <c r="D346" s="16"/>
      <c r="E346" s="16"/>
      <c r="F346" s="16"/>
      <c r="G346" s="16"/>
      <c r="H346" s="16"/>
      <c r="I346" s="16"/>
      <c r="J346" s="16"/>
      <c r="K346" s="16"/>
      <c r="L346" s="16"/>
      <c r="M346" s="16"/>
      <c r="N346" s="16"/>
      <c r="O346" s="17"/>
      <c r="P346" s="19" t="str">
        <f t="shared" ref="P346" si="382">Q346</f>
        <v>×</v>
      </c>
      <c r="Q346" s="28" t="str">
        <f t="shared" ref="Q346" si="383">IF(O346=R346,$S$3,$T$3)</f>
        <v>×</v>
      </c>
      <c r="R346" s="23" t="s">
        <v>287</v>
      </c>
      <c r="U346">
        <v>344</v>
      </c>
      <c r="V346" s="9">
        <v>2</v>
      </c>
      <c r="W346" s="46">
        <f t="shared" ref="W346" si="384">IF(O346=R346,1,0)</f>
        <v>0</v>
      </c>
    </row>
    <row r="347" spans="2:23" ht="40" customHeight="1">
      <c r="B347" s="15"/>
      <c r="C347" s="25" t="s">
        <v>823</v>
      </c>
      <c r="D347" s="25"/>
      <c r="E347" s="25"/>
      <c r="F347" s="25" t="s">
        <v>824</v>
      </c>
      <c r="G347" s="25"/>
      <c r="H347" s="25"/>
      <c r="I347" s="25" t="s">
        <v>825</v>
      </c>
      <c r="J347" s="25"/>
      <c r="K347" s="25"/>
      <c r="L347" s="25" t="s">
        <v>826</v>
      </c>
      <c r="M347" s="25"/>
      <c r="N347" s="25"/>
      <c r="O347" s="18"/>
      <c r="P347" s="27"/>
      <c r="Q347" s="29"/>
      <c r="R347" s="30"/>
      <c r="U347">
        <v>345</v>
      </c>
      <c r="V347" s="9">
        <v>1</v>
      </c>
      <c r="W347" s="46"/>
    </row>
    <row r="348" spans="2:23" ht="40" customHeight="1">
      <c r="B348" s="14">
        <v>173</v>
      </c>
      <c r="C348" s="16" t="s">
        <v>827</v>
      </c>
      <c r="D348" s="16"/>
      <c r="E348" s="16"/>
      <c r="F348" s="16"/>
      <c r="G348" s="16"/>
      <c r="H348" s="16"/>
      <c r="I348" s="16"/>
      <c r="J348" s="16"/>
      <c r="K348" s="16"/>
      <c r="L348" s="16"/>
      <c r="M348" s="16"/>
      <c r="N348" s="16"/>
      <c r="O348" s="17"/>
      <c r="P348" s="19" t="str">
        <f t="shared" ref="P348" si="385">Q348</f>
        <v>×</v>
      </c>
      <c r="Q348" s="28" t="str">
        <f t="shared" ref="Q348" si="386">IF(O348=R348,$S$3,$T$3)</f>
        <v>×</v>
      </c>
      <c r="R348" s="23" t="s">
        <v>287</v>
      </c>
      <c r="U348">
        <v>346</v>
      </c>
      <c r="V348" s="9">
        <v>2</v>
      </c>
      <c r="W348" s="46">
        <f t="shared" ref="W348" si="387">IF(O348=R348,1,0)</f>
        <v>0</v>
      </c>
    </row>
    <row r="349" spans="2:23" ht="40" customHeight="1">
      <c r="B349" s="15"/>
      <c r="C349" s="25" t="s">
        <v>828</v>
      </c>
      <c r="D349" s="25"/>
      <c r="E349" s="25"/>
      <c r="F349" s="25" t="s">
        <v>829</v>
      </c>
      <c r="G349" s="25"/>
      <c r="H349" s="25"/>
      <c r="I349" s="25" t="s">
        <v>830</v>
      </c>
      <c r="J349" s="25"/>
      <c r="K349" s="25"/>
      <c r="L349" s="25" t="s">
        <v>831</v>
      </c>
      <c r="M349" s="25"/>
      <c r="N349" s="25"/>
      <c r="O349" s="18"/>
      <c r="P349" s="27"/>
      <c r="Q349" s="29"/>
      <c r="R349" s="30"/>
      <c r="U349">
        <v>347</v>
      </c>
      <c r="V349" s="9">
        <v>1</v>
      </c>
      <c r="W349" s="46"/>
    </row>
    <row r="350" spans="2:23" ht="40" customHeight="1">
      <c r="B350" s="14">
        <v>174</v>
      </c>
      <c r="C350" s="16" t="s">
        <v>832</v>
      </c>
      <c r="D350" s="16"/>
      <c r="E350" s="16"/>
      <c r="F350" s="16"/>
      <c r="G350" s="16"/>
      <c r="H350" s="16"/>
      <c r="I350" s="16"/>
      <c r="J350" s="16"/>
      <c r="K350" s="16"/>
      <c r="L350" s="16"/>
      <c r="M350" s="16"/>
      <c r="N350" s="16"/>
      <c r="O350" s="17"/>
      <c r="P350" s="19" t="str">
        <f t="shared" ref="P350" si="388">Q350</f>
        <v>×</v>
      </c>
      <c r="Q350" s="28" t="str">
        <f t="shared" ref="Q350" si="389">IF(O350=R350,$S$3,$T$3)</f>
        <v>×</v>
      </c>
      <c r="R350" s="23" t="s">
        <v>288</v>
      </c>
      <c r="U350">
        <v>348</v>
      </c>
      <c r="V350" s="9">
        <v>2</v>
      </c>
      <c r="W350" s="46">
        <f t="shared" ref="W350" si="390">IF(O350=R350,1,0)</f>
        <v>0</v>
      </c>
    </row>
    <row r="351" spans="2:23" ht="40" customHeight="1">
      <c r="B351" s="15"/>
      <c r="C351" s="25" t="s">
        <v>833</v>
      </c>
      <c r="D351" s="25"/>
      <c r="E351" s="25"/>
      <c r="F351" s="25" t="s">
        <v>493</v>
      </c>
      <c r="G351" s="25"/>
      <c r="H351" s="25"/>
      <c r="I351" s="25" t="s">
        <v>834</v>
      </c>
      <c r="J351" s="25"/>
      <c r="K351" s="25"/>
      <c r="L351" s="25" t="s">
        <v>835</v>
      </c>
      <c r="M351" s="25"/>
      <c r="N351" s="25"/>
      <c r="O351" s="18"/>
      <c r="P351" s="27"/>
      <c r="Q351" s="29"/>
      <c r="R351" s="30"/>
      <c r="U351">
        <v>349</v>
      </c>
      <c r="V351" s="9">
        <v>1</v>
      </c>
      <c r="W351" s="46"/>
    </row>
    <row r="352" spans="2:23" ht="40" customHeight="1">
      <c r="B352" s="14">
        <v>175</v>
      </c>
      <c r="C352" s="16" t="s">
        <v>836</v>
      </c>
      <c r="D352" s="16"/>
      <c r="E352" s="16"/>
      <c r="F352" s="16"/>
      <c r="G352" s="16"/>
      <c r="H352" s="16"/>
      <c r="I352" s="16"/>
      <c r="J352" s="16"/>
      <c r="K352" s="16"/>
      <c r="L352" s="16"/>
      <c r="M352" s="16"/>
      <c r="N352" s="16"/>
      <c r="O352" s="17"/>
      <c r="P352" s="19" t="str">
        <f t="shared" ref="P352" si="391">Q352</f>
        <v>×</v>
      </c>
      <c r="Q352" s="28" t="str">
        <f t="shared" ref="Q352" si="392">IF(O352=R352,$S$3,$T$3)</f>
        <v>×</v>
      </c>
      <c r="R352" s="23" t="s">
        <v>289</v>
      </c>
      <c r="U352">
        <v>350</v>
      </c>
      <c r="V352" s="9">
        <v>2</v>
      </c>
      <c r="W352" s="46">
        <f t="shared" ref="W352" si="393">IF(O352=R352,1,0)</f>
        <v>0</v>
      </c>
    </row>
    <row r="353" spans="2:23" ht="40" customHeight="1">
      <c r="B353" s="15"/>
      <c r="C353" s="25" t="s">
        <v>837</v>
      </c>
      <c r="D353" s="25"/>
      <c r="E353" s="25"/>
      <c r="F353" s="25" t="s">
        <v>838</v>
      </c>
      <c r="G353" s="25"/>
      <c r="H353" s="25"/>
      <c r="I353" s="25" t="s">
        <v>839</v>
      </c>
      <c r="J353" s="25"/>
      <c r="K353" s="25"/>
      <c r="L353" s="25" t="s">
        <v>840</v>
      </c>
      <c r="M353" s="25"/>
      <c r="N353" s="25"/>
      <c r="O353" s="18"/>
      <c r="P353" s="27"/>
      <c r="Q353" s="29"/>
      <c r="R353" s="30"/>
      <c r="U353">
        <v>351</v>
      </c>
      <c r="V353" s="9">
        <v>1</v>
      </c>
      <c r="W353" s="46"/>
    </row>
    <row r="354" spans="2:23" ht="40" customHeight="1">
      <c r="B354" s="14">
        <v>176</v>
      </c>
      <c r="C354" s="16" t="s">
        <v>841</v>
      </c>
      <c r="D354" s="16"/>
      <c r="E354" s="16"/>
      <c r="F354" s="16"/>
      <c r="G354" s="16"/>
      <c r="H354" s="16"/>
      <c r="I354" s="16"/>
      <c r="J354" s="16"/>
      <c r="K354" s="16"/>
      <c r="L354" s="16"/>
      <c r="M354" s="16"/>
      <c r="N354" s="16"/>
      <c r="O354" s="17"/>
      <c r="P354" s="19" t="str">
        <f t="shared" ref="P354" si="394">Q354</f>
        <v>×</v>
      </c>
      <c r="Q354" s="28" t="str">
        <f t="shared" ref="Q354" si="395">IF(O354=R354,$S$3,$T$3)</f>
        <v>×</v>
      </c>
      <c r="R354" s="23" t="s">
        <v>287</v>
      </c>
      <c r="U354">
        <v>352</v>
      </c>
      <c r="V354" s="9">
        <v>2</v>
      </c>
      <c r="W354" s="46">
        <f t="shared" ref="W354" si="396">IF(O354=R354,1,0)</f>
        <v>0</v>
      </c>
    </row>
    <row r="355" spans="2:23" ht="40" customHeight="1">
      <c r="B355" s="15"/>
      <c r="C355" s="25" t="s">
        <v>842</v>
      </c>
      <c r="D355" s="25"/>
      <c r="E355" s="25"/>
      <c r="F355" s="25" t="s">
        <v>843</v>
      </c>
      <c r="G355" s="25"/>
      <c r="H355" s="25"/>
      <c r="I355" s="25" t="s">
        <v>844</v>
      </c>
      <c r="J355" s="25"/>
      <c r="K355" s="25"/>
      <c r="L355" s="25" t="s">
        <v>845</v>
      </c>
      <c r="M355" s="25"/>
      <c r="N355" s="25"/>
      <c r="O355" s="18"/>
      <c r="P355" s="27"/>
      <c r="Q355" s="29"/>
      <c r="R355" s="30"/>
      <c r="U355">
        <v>353</v>
      </c>
      <c r="V355" s="9">
        <v>1</v>
      </c>
      <c r="W355" s="46"/>
    </row>
    <row r="356" spans="2:23" ht="40" customHeight="1">
      <c r="B356" s="14">
        <v>177</v>
      </c>
      <c r="C356" s="16" t="s">
        <v>864</v>
      </c>
      <c r="D356" s="16"/>
      <c r="E356" s="16"/>
      <c r="F356" s="16"/>
      <c r="G356" s="16"/>
      <c r="H356" s="16"/>
      <c r="I356" s="16"/>
      <c r="J356" s="16"/>
      <c r="K356" s="16"/>
      <c r="L356" s="16"/>
      <c r="M356" s="16"/>
      <c r="N356" s="16"/>
      <c r="O356" s="17"/>
      <c r="P356" s="19" t="str">
        <f t="shared" ref="P356" si="397">Q356</f>
        <v>×</v>
      </c>
      <c r="Q356" s="28" t="str">
        <f t="shared" ref="Q356" si="398">IF(O356=R356,$S$3,$T$3)</f>
        <v>×</v>
      </c>
      <c r="R356" s="23" t="s">
        <v>289</v>
      </c>
      <c r="U356">
        <v>354</v>
      </c>
      <c r="V356" s="9">
        <v>2</v>
      </c>
      <c r="W356" s="46">
        <f t="shared" ref="W356" si="399">IF(O356=R356,1,0)</f>
        <v>0</v>
      </c>
    </row>
    <row r="357" spans="2:23" ht="40" customHeight="1">
      <c r="B357" s="15"/>
      <c r="C357" s="25" t="s">
        <v>846</v>
      </c>
      <c r="D357" s="25"/>
      <c r="E357" s="25"/>
      <c r="F357" s="25" t="s">
        <v>847</v>
      </c>
      <c r="G357" s="25"/>
      <c r="H357" s="25"/>
      <c r="I357" s="25" t="s">
        <v>691</v>
      </c>
      <c r="J357" s="25"/>
      <c r="K357" s="25"/>
      <c r="L357" s="25" t="s">
        <v>760</v>
      </c>
      <c r="M357" s="25"/>
      <c r="N357" s="25"/>
      <c r="O357" s="18"/>
      <c r="P357" s="27"/>
      <c r="Q357" s="29"/>
      <c r="R357" s="30"/>
      <c r="U357">
        <v>355</v>
      </c>
      <c r="V357" s="9">
        <v>1</v>
      </c>
      <c r="W357" s="46"/>
    </row>
    <row r="358" spans="2:23" ht="40" customHeight="1">
      <c r="B358" s="14">
        <v>178</v>
      </c>
      <c r="C358" s="16" t="s">
        <v>863</v>
      </c>
      <c r="D358" s="16"/>
      <c r="E358" s="16"/>
      <c r="F358" s="16"/>
      <c r="G358" s="16"/>
      <c r="H358" s="16"/>
      <c r="I358" s="16"/>
      <c r="J358" s="16"/>
      <c r="K358" s="16"/>
      <c r="L358" s="16"/>
      <c r="M358" s="16"/>
      <c r="N358" s="16"/>
      <c r="O358" s="17"/>
      <c r="P358" s="19" t="str">
        <f t="shared" ref="P358" si="400">Q358</f>
        <v>×</v>
      </c>
      <c r="Q358" s="28" t="str">
        <f t="shared" ref="Q358" si="401">IF(O358=R358,$S$3,$T$3)</f>
        <v>×</v>
      </c>
      <c r="R358" s="23" t="s">
        <v>287</v>
      </c>
      <c r="U358">
        <v>356</v>
      </c>
      <c r="V358" s="9">
        <v>2</v>
      </c>
      <c r="W358" s="46">
        <f t="shared" ref="W358" si="402">IF(O358=R358,1,0)</f>
        <v>0</v>
      </c>
    </row>
    <row r="359" spans="2:23" ht="40" customHeight="1">
      <c r="B359" s="15"/>
      <c r="C359" s="25" t="s">
        <v>848</v>
      </c>
      <c r="D359" s="25"/>
      <c r="E359" s="25"/>
      <c r="F359" s="25" t="s">
        <v>849</v>
      </c>
      <c r="G359" s="25"/>
      <c r="H359" s="25"/>
      <c r="I359" s="25" t="s">
        <v>850</v>
      </c>
      <c r="J359" s="25"/>
      <c r="K359" s="25"/>
      <c r="L359" s="25" t="s">
        <v>851</v>
      </c>
      <c r="M359" s="25"/>
      <c r="N359" s="25"/>
      <c r="O359" s="18"/>
      <c r="P359" s="27"/>
      <c r="Q359" s="29"/>
      <c r="R359" s="30"/>
      <c r="U359">
        <v>357</v>
      </c>
      <c r="V359" s="9">
        <v>1</v>
      </c>
      <c r="W359" s="46"/>
    </row>
    <row r="360" spans="2:23" ht="40" customHeight="1">
      <c r="B360" s="14">
        <v>179</v>
      </c>
      <c r="C360" s="16" t="s">
        <v>862</v>
      </c>
      <c r="D360" s="16"/>
      <c r="E360" s="16"/>
      <c r="F360" s="16"/>
      <c r="G360" s="16"/>
      <c r="H360" s="16"/>
      <c r="I360" s="16"/>
      <c r="J360" s="16"/>
      <c r="K360" s="16"/>
      <c r="L360" s="16"/>
      <c r="M360" s="16"/>
      <c r="N360" s="16"/>
      <c r="O360" s="17"/>
      <c r="P360" s="19" t="str">
        <f t="shared" ref="P360" si="403">Q360</f>
        <v>×</v>
      </c>
      <c r="Q360" s="28" t="str">
        <f t="shared" ref="Q360" si="404">IF(O360=R360,$S$3,$T$3)</f>
        <v>×</v>
      </c>
      <c r="R360" s="23" t="s">
        <v>287</v>
      </c>
      <c r="U360">
        <v>358</v>
      </c>
      <c r="V360" s="9">
        <v>2</v>
      </c>
      <c r="W360" s="46">
        <f t="shared" ref="W360" si="405">IF(O360=R360,1,0)</f>
        <v>0</v>
      </c>
    </row>
    <row r="361" spans="2:23" ht="40" customHeight="1">
      <c r="B361" s="15"/>
      <c r="C361" s="25" t="s">
        <v>852</v>
      </c>
      <c r="D361" s="25"/>
      <c r="E361" s="25"/>
      <c r="F361" s="25" t="s">
        <v>853</v>
      </c>
      <c r="G361" s="25"/>
      <c r="H361" s="25"/>
      <c r="I361" s="25" t="s">
        <v>854</v>
      </c>
      <c r="J361" s="25"/>
      <c r="K361" s="25"/>
      <c r="L361" s="25" t="s">
        <v>855</v>
      </c>
      <c r="M361" s="25"/>
      <c r="N361" s="25"/>
      <c r="O361" s="18"/>
      <c r="P361" s="27"/>
      <c r="Q361" s="29"/>
      <c r="R361" s="30"/>
      <c r="U361">
        <v>359</v>
      </c>
      <c r="V361" s="9">
        <v>1</v>
      </c>
      <c r="W361" s="46"/>
    </row>
    <row r="362" spans="2:23" ht="40" customHeight="1">
      <c r="B362" s="14">
        <v>180</v>
      </c>
      <c r="C362" s="16" t="s">
        <v>861</v>
      </c>
      <c r="D362" s="16"/>
      <c r="E362" s="16"/>
      <c r="F362" s="16"/>
      <c r="G362" s="16"/>
      <c r="H362" s="16"/>
      <c r="I362" s="16"/>
      <c r="J362" s="16"/>
      <c r="K362" s="16"/>
      <c r="L362" s="16"/>
      <c r="M362" s="16"/>
      <c r="N362" s="16"/>
      <c r="O362" s="17"/>
      <c r="P362" s="19" t="str">
        <f>Q362</f>
        <v>×</v>
      </c>
      <c r="Q362" s="28" t="str">
        <f>IF(O362=R362,$S$3,$T$3)</f>
        <v>×</v>
      </c>
      <c r="R362" s="23" t="s">
        <v>288</v>
      </c>
      <c r="U362">
        <v>360</v>
      </c>
      <c r="V362" s="9">
        <v>2</v>
      </c>
      <c r="W362" s="46">
        <f t="shared" ref="W362" si="406">IF(O362=R362,1,0)</f>
        <v>0</v>
      </c>
    </row>
    <row r="363" spans="2:23" ht="40" customHeight="1">
      <c r="B363" s="15"/>
      <c r="C363" s="25" t="s">
        <v>856</v>
      </c>
      <c r="D363" s="25"/>
      <c r="E363" s="25"/>
      <c r="F363" s="25" t="s">
        <v>857</v>
      </c>
      <c r="G363" s="25"/>
      <c r="H363" s="25"/>
      <c r="I363" s="25" t="s">
        <v>858</v>
      </c>
      <c r="J363" s="25"/>
      <c r="K363" s="25"/>
      <c r="L363" s="25" t="s">
        <v>859</v>
      </c>
      <c r="M363" s="25"/>
      <c r="N363" s="25"/>
      <c r="O363" s="18"/>
      <c r="P363" s="27"/>
      <c r="Q363" s="29"/>
      <c r="R363" s="30"/>
      <c r="U363">
        <v>361</v>
      </c>
      <c r="V363" s="9">
        <v>1</v>
      </c>
      <c r="W363" s="46"/>
    </row>
    <row r="364" spans="2:23" ht="40" customHeight="1">
      <c r="B364" s="14">
        <v>181</v>
      </c>
      <c r="C364" s="16" t="s">
        <v>860</v>
      </c>
      <c r="D364" s="16"/>
      <c r="E364" s="16"/>
      <c r="F364" s="16"/>
      <c r="G364" s="16"/>
      <c r="H364" s="16"/>
      <c r="I364" s="16"/>
      <c r="J364" s="16"/>
      <c r="K364" s="16"/>
      <c r="L364" s="16"/>
      <c r="M364" s="16"/>
      <c r="N364" s="16"/>
      <c r="O364" s="17"/>
      <c r="P364" s="19" t="str">
        <f t="shared" ref="P364" si="407">Q364</f>
        <v>×</v>
      </c>
      <c r="Q364" s="28" t="str">
        <f t="shared" ref="Q364" si="408">IF(O364=R364,$S$3,$T$3)</f>
        <v>×</v>
      </c>
      <c r="R364" s="23" t="s">
        <v>287</v>
      </c>
      <c r="U364">
        <v>362</v>
      </c>
      <c r="V364" s="9">
        <v>2</v>
      </c>
      <c r="W364" s="46">
        <f t="shared" ref="W364" si="409">IF(O364=R364,1,0)</f>
        <v>0</v>
      </c>
    </row>
    <row r="365" spans="2:23" ht="40" customHeight="1">
      <c r="B365" s="15"/>
      <c r="C365" s="25" t="s">
        <v>865</v>
      </c>
      <c r="D365" s="25"/>
      <c r="E365" s="25"/>
      <c r="F365" s="25" t="s">
        <v>866</v>
      </c>
      <c r="G365" s="25"/>
      <c r="H365" s="25"/>
      <c r="I365" s="25" t="s">
        <v>867</v>
      </c>
      <c r="J365" s="25"/>
      <c r="K365" s="25"/>
      <c r="L365" s="25" t="s">
        <v>868</v>
      </c>
      <c r="M365" s="25"/>
      <c r="N365" s="25"/>
      <c r="O365" s="18"/>
      <c r="P365" s="27"/>
      <c r="Q365" s="29"/>
      <c r="R365" s="30"/>
      <c r="U365">
        <v>363</v>
      </c>
      <c r="V365" s="9">
        <v>1</v>
      </c>
      <c r="W365" s="46"/>
    </row>
    <row r="366" spans="2:23" ht="40" customHeight="1">
      <c r="B366" s="14">
        <v>182</v>
      </c>
      <c r="C366" s="16" t="s">
        <v>873</v>
      </c>
      <c r="D366" s="16"/>
      <c r="E366" s="16"/>
      <c r="F366" s="16"/>
      <c r="G366" s="16"/>
      <c r="H366" s="16"/>
      <c r="I366" s="16"/>
      <c r="J366" s="16"/>
      <c r="K366" s="16"/>
      <c r="L366" s="16"/>
      <c r="M366" s="16"/>
      <c r="N366" s="16"/>
      <c r="O366" s="17"/>
      <c r="P366" s="19" t="str">
        <f t="shared" ref="P366" si="410">Q366</f>
        <v>×</v>
      </c>
      <c r="Q366" s="28" t="str">
        <f t="shared" ref="Q366" si="411">IF(O366=R366,$S$3,$T$3)</f>
        <v>×</v>
      </c>
      <c r="R366" s="23" t="s">
        <v>288</v>
      </c>
      <c r="U366">
        <v>364</v>
      </c>
      <c r="V366" s="9">
        <v>2</v>
      </c>
      <c r="W366" s="46">
        <f t="shared" ref="W366" si="412">IF(O366=R366,1,0)</f>
        <v>0</v>
      </c>
    </row>
    <row r="367" spans="2:23" ht="40" customHeight="1">
      <c r="B367" s="15"/>
      <c r="C367" s="25" t="s">
        <v>846</v>
      </c>
      <c r="D367" s="25"/>
      <c r="E367" s="25"/>
      <c r="F367" s="25" t="s">
        <v>869</v>
      </c>
      <c r="G367" s="25"/>
      <c r="H367" s="25"/>
      <c r="I367" s="25" t="s">
        <v>870</v>
      </c>
      <c r="J367" s="25"/>
      <c r="K367" s="25"/>
      <c r="L367" s="25" t="s">
        <v>871</v>
      </c>
      <c r="M367" s="25"/>
      <c r="N367" s="25"/>
      <c r="O367" s="18"/>
      <c r="P367" s="27"/>
      <c r="Q367" s="29"/>
      <c r="R367" s="30"/>
      <c r="U367">
        <v>365</v>
      </c>
      <c r="V367" s="9">
        <v>1</v>
      </c>
      <c r="W367" s="46"/>
    </row>
    <row r="368" spans="2:23" ht="40" customHeight="1">
      <c r="B368" s="14">
        <v>183</v>
      </c>
      <c r="C368" s="16" t="s">
        <v>872</v>
      </c>
      <c r="D368" s="16"/>
      <c r="E368" s="16"/>
      <c r="F368" s="16"/>
      <c r="G368" s="16"/>
      <c r="H368" s="16"/>
      <c r="I368" s="16"/>
      <c r="J368" s="16"/>
      <c r="K368" s="16"/>
      <c r="L368" s="16"/>
      <c r="M368" s="16"/>
      <c r="N368" s="16"/>
      <c r="O368" s="17"/>
      <c r="P368" s="19" t="str">
        <f t="shared" ref="P368" si="413">Q368</f>
        <v>×</v>
      </c>
      <c r="Q368" s="28" t="str">
        <f t="shared" ref="Q368" si="414">IF(O368=R368,$S$3,$T$3)</f>
        <v>×</v>
      </c>
      <c r="R368" s="23" t="s">
        <v>289</v>
      </c>
      <c r="U368">
        <v>366</v>
      </c>
      <c r="V368" s="9">
        <v>2</v>
      </c>
      <c r="W368" s="46">
        <f t="shared" ref="W368" si="415">IF(O368=R368,1,0)</f>
        <v>0</v>
      </c>
    </row>
    <row r="369" spans="2:23" ht="40" customHeight="1">
      <c r="B369" s="15"/>
      <c r="C369" s="25" t="s">
        <v>874</v>
      </c>
      <c r="D369" s="25"/>
      <c r="E369" s="25"/>
      <c r="F369" s="25" t="s">
        <v>875</v>
      </c>
      <c r="G369" s="25"/>
      <c r="H369" s="25"/>
      <c r="I369" s="25" t="s">
        <v>876</v>
      </c>
      <c r="J369" s="25"/>
      <c r="K369" s="25"/>
      <c r="L369" s="25" t="s">
        <v>877</v>
      </c>
      <c r="M369" s="25"/>
      <c r="N369" s="25"/>
      <c r="O369" s="18"/>
      <c r="P369" s="27"/>
      <c r="Q369" s="29"/>
      <c r="R369" s="30"/>
      <c r="U369">
        <v>367</v>
      </c>
      <c r="V369" s="9">
        <v>1</v>
      </c>
      <c r="W369" s="46"/>
    </row>
    <row r="370" spans="2:23" ht="40" customHeight="1">
      <c r="B370" s="14">
        <v>184</v>
      </c>
      <c r="C370" s="16" t="s">
        <v>878</v>
      </c>
      <c r="D370" s="16"/>
      <c r="E370" s="16"/>
      <c r="F370" s="16"/>
      <c r="G370" s="16"/>
      <c r="H370" s="16"/>
      <c r="I370" s="16"/>
      <c r="J370" s="16"/>
      <c r="K370" s="16"/>
      <c r="L370" s="16"/>
      <c r="M370" s="16"/>
      <c r="N370" s="16"/>
      <c r="O370" s="17"/>
      <c r="P370" s="19" t="str">
        <f t="shared" ref="P370" si="416">Q370</f>
        <v>×</v>
      </c>
      <c r="Q370" s="28" t="str">
        <f t="shared" ref="Q370" si="417">IF(O370=R370,$S$3,$T$3)</f>
        <v>×</v>
      </c>
      <c r="R370" s="23" t="s">
        <v>289</v>
      </c>
      <c r="U370">
        <v>368</v>
      </c>
      <c r="V370" s="9">
        <v>2</v>
      </c>
      <c r="W370" s="46">
        <f t="shared" ref="W370" si="418">IF(O370=R370,1,0)</f>
        <v>0</v>
      </c>
    </row>
    <row r="371" spans="2:23" ht="40" customHeight="1">
      <c r="B371" s="15"/>
      <c r="C371" s="25" t="s">
        <v>879</v>
      </c>
      <c r="D371" s="25"/>
      <c r="E371" s="25"/>
      <c r="F371" s="25" t="s">
        <v>880</v>
      </c>
      <c r="G371" s="25"/>
      <c r="H371" s="25"/>
      <c r="I371" s="25" t="s">
        <v>881</v>
      </c>
      <c r="J371" s="25"/>
      <c r="K371" s="25"/>
      <c r="L371" s="25" t="s">
        <v>882</v>
      </c>
      <c r="M371" s="25"/>
      <c r="N371" s="25"/>
      <c r="O371" s="18"/>
      <c r="P371" s="27"/>
      <c r="Q371" s="29"/>
      <c r="R371" s="30"/>
      <c r="U371">
        <v>369</v>
      </c>
      <c r="V371" s="9">
        <v>1</v>
      </c>
      <c r="W371" s="46"/>
    </row>
    <row r="372" spans="2:23" ht="40" customHeight="1">
      <c r="B372" s="14">
        <v>185</v>
      </c>
      <c r="C372" s="16" t="s">
        <v>883</v>
      </c>
      <c r="D372" s="16"/>
      <c r="E372" s="16"/>
      <c r="F372" s="16"/>
      <c r="G372" s="16"/>
      <c r="H372" s="16"/>
      <c r="I372" s="16"/>
      <c r="J372" s="16"/>
      <c r="K372" s="16"/>
      <c r="L372" s="16"/>
      <c r="M372" s="16"/>
      <c r="N372" s="16"/>
      <c r="O372" s="17"/>
      <c r="P372" s="19" t="str">
        <f t="shared" ref="P372" si="419">Q372</f>
        <v>×</v>
      </c>
      <c r="Q372" s="28" t="str">
        <f t="shared" ref="Q372" si="420">IF(O372=R372,$S$3,$T$3)</f>
        <v>×</v>
      </c>
      <c r="R372" s="23" t="s">
        <v>290</v>
      </c>
      <c r="U372">
        <v>370</v>
      </c>
      <c r="V372" s="9">
        <v>2</v>
      </c>
      <c r="W372" s="46">
        <f t="shared" ref="W372" si="421">IF(O372=R372,1,0)</f>
        <v>0</v>
      </c>
    </row>
    <row r="373" spans="2:23" ht="40" customHeight="1">
      <c r="B373" s="15"/>
      <c r="C373" s="25" t="s">
        <v>884</v>
      </c>
      <c r="D373" s="25"/>
      <c r="E373" s="25"/>
      <c r="F373" s="25" t="s">
        <v>880</v>
      </c>
      <c r="G373" s="25"/>
      <c r="H373" s="25"/>
      <c r="I373" s="25" t="s">
        <v>885</v>
      </c>
      <c r="J373" s="25"/>
      <c r="K373" s="25"/>
      <c r="L373" s="25" t="s">
        <v>886</v>
      </c>
      <c r="M373" s="25"/>
      <c r="N373" s="25"/>
      <c r="O373" s="18"/>
      <c r="P373" s="27"/>
      <c r="Q373" s="29"/>
      <c r="R373" s="30"/>
      <c r="U373">
        <v>371</v>
      </c>
      <c r="V373" s="9">
        <v>1</v>
      </c>
      <c r="W373" s="46"/>
    </row>
    <row r="374" spans="2:23" ht="40" customHeight="1">
      <c r="B374" s="14">
        <v>186</v>
      </c>
      <c r="C374" s="16" t="s">
        <v>887</v>
      </c>
      <c r="D374" s="16"/>
      <c r="E374" s="16"/>
      <c r="F374" s="16"/>
      <c r="G374" s="16"/>
      <c r="H374" s="16"/>
      <c r="I374" s="16"/>
      <c r="J374" s="16"/>
      <c r="K374" s="16"/>
      <c r="L374" s="16"/>
      <c r="M374" s="16"/>
      <c r="N374" s="16"/>
      <c r="O374" s="17"/>
      <c r="P374" s="19" t="str">
        <f t="shared" ref="P374" si="422">Q374</f>
        <v>×</v>
      </c>
      <c r="Q374" s="28" t="str">
        <f t="shared" ref="Q374" si="423">IF(O374=R374,$S$3,$T$3)</f>
        <v>×</v>
      </c>
      <c r="R374" s="23" t="s">
        <v>289</v>
      </c>
      <c r="U374">
        <v>372</v>
      </c>
      <c r="V374" s="9">
        <v>2</v>
      </c>
      <c r="W374" s="46">
        <f t="shared" ref="W374" si="424">IF(O374=R374,1,0)</f>
        <v>0</v>
      </c>
    </row>
    <row r="375" spans="2:23" ht="40" customHeight="1">
      <c r="B375" s="15"/>
      <c r="C375" s="25" t="s">
        <v>879</v>
      </c>
      <c r="D375" s="25"/>
      <c r="E375" s="25"/>
      <c r="F375" s="25" t="s">
        <v>888</v>
      </c>
      <c r="G375" s="25"/>
      <c r="H375" s="25"/>
      <c r="I375" s="25" t="s">
        <v>889</v>
      </c>
      <c r="J375" s="25"/>
      <c r="K375" s="25"/>
      <c r="L375" s="25" t="s">
        <v>890</v>
      </c>
      <c r="M375" s="25"/>
      <c r="N375" s="25"/>
      <c r="O375" s="18"/>
      <c r="P375" s="27"/>
      <c r="Q375" s="29"/>
      <c r="R375" s="30"/>
      <c r="U375">
        <v>373</v>
      </c>
      <c r="V375" s="9">
        <v>1</v>
      </c>
      <c r="W375" s="46"/>
    </row>
    <row r="376" spans="2:23" ht="40" customHeight="1">
      <c r="B376" s="14">
        <v>187</v>
      </c>
      <c r="C376" s="16" t="s">
        <v>891</v>
      </c>
      <c r="D376" s="16"/>
      <c r="E376" s="16"/>
      <c r="F376" s="16"/>
      <c r="G376" s="16"/>
      <c r="H376" s="16"/>
      <c r="I376" s="16"/>
      <c r="J376" s="16"/>
      <c r="K376" s="16"/>
      <c r="L376" s="16"/>
      <c r="M376" s="16"/>
      <c r="N376" s="16"/>
      <c r="O376" s="17"/>
      <c r="P376" s="19" t="str">
        <f t="shared" ref="P376" si="425">Q376</f>
        <v>×</v>
      </c>
      <c r="Q376" s="28" t="str">
        <f t="shared" ref="Q376" si="426">IF(O376=R376,$S$3,$T$3)</f>
        <v>×</v>
      </c>
      <c r="R376" s="23" t="s">
        <v>289</v>
      </c>
      <c r="U376">
        <v>374</v>
      </c>
      <c r="V376" s="9">
        <v>2</v>
      </c>
      <c r="W376" s="46">
        <f t="shared" ref="W376" si="427">IF(O376=R376,1,0)</f>
        <v>0</v>
      </c>
    </row>
    <row r="377" spans="2:23" ht="40" customHeight="1">
      <c r="B377" s="15"/>
      <c r="C377" s="25" t="s">
        <v>892</v>
      </c>
      <c r="D377" s="25"/>
      <c r="E377" s="25"/>
      <c r="F377" s="25" t="s">
        <v>893</v>
      </c>
      <c r="G377" s="25"/>
      <c r="H377" s="25"/>
      <c r="I377" s="25" t="s">
        <v>894</v>
      </c>
      <c r="J377" s="25"/>
      <c r="K377" s="25"/>
      <c r="L377" s="25" t="s">
        <v>95</v>
      </c>
      <c r="M377" s="25"/>
      <c r="N377" s="25"/>
      <c r="O377" s="18"/>
      <c r="P377" s="27"/>
      <c r="Q377" s="29"/>
      <c r="R377" s="30"/>
      <c r="U377">
        <v>375</v>
      </c>
      <c r="V377" s="9">
        <v>1</v>
      </c>
      <c r="W377" s="46"/>
    </row>
    <row r="378" spans="2:23" ht="40" customHeight="1">
      <c r="B378" s="14">
        <v>188</v>
      </c>
      <c r="C378" s="16" t="s">
        <v>895</v>
      </c>
      <c r="D378" s="16"/>
      <c r="E378" s="16"/>
      <c r="F378" s="16"/>
      <c r="G378" s="16"/>
      <c r="H378" s="16"/>
      <c r="I378" s="16"/>
      <c r="J378" s="16"/>
      <c r="K378" s="16"/>
      <c r="L378" s="16"/>
      <c r="M378" s="16"/>
      <c r="N378" s="16"/>
      <c r="O378" s="17"/>
      <c r="P378" s="19" t="str">
        <f t="shared" ref="P378" si="428">Q378</f>
        <v>×</v>
      </c>
      <c r="Q378" s="28" t="str">
        <f t="shared" ref="Q378" si="429">IF(O378=R378,$S$3,$T$3)</f>
        <v>×</v>
      </c>
      <c r="R378" s="23" t="s">
        <v>288</v>
      </c>
      <c r="U378">
        <v>376</v>
      </c>
      <c r="V378" s="9">
        <v>2</v>
      </c>
      <c r="W378" s="46">
        <f t="shared" ref="W378" si="430">IF(O378=R378,1,0)</f>
        <v>0</v>
      </c>
    </row>
    <row r="379" spans="2:23" ht="40" customHeight="1">
      <c r="B379" s="15"/>
      <c r="C379" s="25" t="s">
        <v>896</v>
      </c>
      <c r="D379" s="25"/>
      <c r="E379" s="25"/>
      <c r="F379" s="25" t="s">
        <v>897</v>
      </c>
      <c r="G379" s="25"/>
      <c r="H379" s="25"/>
      <c r="I379" s="25" t="s">
        <v>898</v>
      </c>
      <c r="J379" s="25"/>
      <c r="K379" s="25"/>
      <c r="L379" s="25" t="s">
        <v>899</v>
      </c>
      <c r="M379" s="25"/>
      <c r="N379" s="25"/>
      <c r="O379" s="18"/>
      <c r="P379" s="27"/>
      <c r="Q379" s="29"/>
      <c r="R379" s="30"/>
      <c r="U379">
        <v>377</v>
      </c>
      <c r="V379" s="9">
        <v>1</v>
      </c>
      <c r="W379" s="46"/>
    </row>
    <row r="380" spans="2:23" ht="40" customHeight="1">
      <c r="B380" s="14">
        <v>189</v>
      </c>
      <c r="C380" s="16" t="s">
        <v>900</v>
      </c>
      <c r="D380" s="16"/>
      <c r="E380" s="16"/>
      <c r="F380" s="16"/>
      <c r="G380" s="16"/>
      <c r="H380" s="16"/>
      <c r="I380" s="16"/>
      <c r="J380" s="16"/>
      <c r="K380" s="16"/>
      <c r="L380" s="16"/>
      <c r="M380" s="16"/>
      <c r="N380" s="16"/>
      <c r="O380" s="17"/>
      <c r="P380" s="19" t="str">
        <f t="shared" ref="P380" si="431">Q380</f>
        <v>×</v>
      </c>
      <c r="Q380" s="28" t="str">
        <f t="shared" ref="Q380" si="432">IF(O380=R380,$S$3,$T$3)</f>
        <v>×</v>
      </c>
      <c r="R380" s="23" t="s">
        <v>290</v>
      </c>
      <c r="U380">
        <v>378</v>
      </c>
      <c r="V380" s="9">
        <v>2</v>
      </c>
      <c r="W380" s="46">
        <f t="shared" ref="W380" si="433">IF(O380=R380,1,0)</f>
        <v>0</v>
      </c>
    </row>
    <row r="381" spans="2:23" ht="40" customHeight="1">
      <c r="B381" s="15"/>
      <c r="C381" s="25" t="s">
        <v>901</v>
      </c>
      <c r="D381" s="25"/>
      <c r="E381" s="25"/>
      <c r="F381" s="25" t="s">
        <v>902</v>
      </c>
      <c r="G381" s="25"/>
      <c r="H381" s="25"/>
      <c r="I381" s="25" t="s">
        <v>903</v>
      </c>
      <c r="J381" s="25"/>
      <c r="K381" s="25"/>
      <c r="L381" s="25" t="s">
        <v>904</v>
      </c>
      <c r="M381" s="25"/>
      <c r="N381" s="25"/>
      <c r="O381" s="18"/>
      <c r="P381" s="27"/>
      <c r="Q381" s="29"/>
      <c r="R381" s="30"/>
      <c r="U381">
        <v>379</v>
      </c>
      <c r="V381" s="9">
        <v>1</v>
      </c>
      <c r="W381" s="46"/>
    </row>
    <row r="382" spans="2:23" ht="40" customHeight="1">
      <c r="B382" s="14">
        <v>190</v>
      </c>
      <c r="C382" s="47" t="s">
        <v>299</v>
      </c>
      <c r="D382" s="48"/>
      <c r="E382" s="48"/>
      <c r="F382" s="48"/>
      <c r="G382" s="48"/>
      <c r="H382" s="48"/>
      <c r="I382" s="48"/>
      <c r="J382" s="48"/>
      <c r="K382" s="48"/>
      <c r="L382" s="48"/>
      <c r="M382" s="48"/>
      <c r="N382" s="49"/>
      <c r="O382" s="17"/>
      <c r="P382" s="19"/>
      <c r="Q382" s="28"/>
      <c r="R382" s="23"/>
      <c r="U382">
        <v>380</v>
      </c>
      <c r="V382" s="9">
        <v>2</v>
      </c>
      <c r="W382" s="46"/>
    </row>
    <row r="383" spans="2:23" ht="40" customHeight="1">
      <c r="B383" s="15"/>
      <c r="C383" s="50"/>
      <c r="D383" s="51"/>
      <c r="E383" s="51"/>
      <c r="F383" s="51"/>
      <c r="G383" s="51"/>
      <c r="H383" s="51"/>
      <c r="I383" s="51"/>
      <c r="J383" s="51"/>
      <c r="K383" s="51"/>
      <c r="L383" s="51"/>
      <c r="M383" s="51"/>
      <c r="N383" s="52"/>
      <c r="O383" s="18"/>
      <c r="P383" s="27"/>
      <c r="Q383" s="29"/>
      <c r="R383" s="30"/>
      <c r="U383">
        <v>381</v>
      </c>
      <c r="V383" s="9">
        <v>1</v>
      </c>
      <c r="W383" s="46"/>
    </row>
    <row r="384" spans="2:23" ht="40" customHeight="1">
      <c r="B384" s="14">
        <v>191</v>
      </c>
      <c r="C384" s="16" t="s">
        <v>905</v>
      </c>
      <c r="D384" s="16"/>
      <c r="E384" s="16"/>
      <c r="F384" s="16"/>
      <c r="G384" s="16"/>
      <c r="H384" s="16"/>
      <c r="I384" s="16"/>
      <c r="J384" s="16"/>
      <c r="K384" s="16"/>
      <c r="L384" s="16"/>
      <c r="M384" s="16"/>
      <c r="N384" s="16"/>
      <c r="O384" s="17"/>
      <c r="P384" s="19" t="str">
        <f t="shared" ref="P384" si="434">Q384</f>
        <v>×</v>
      </c>
      <c r="Q384" s="28" t="str">
        <f t="shared" ref="Q384" si="435">IF(O384=R384,$S$3,$T$3)</f>
        <v>×</v>
      </c>
      <c r="R384" s="23" t="s">
        <v>288</v>
      </c>
      <c r="U384">
        <v>382</v>
      </c>
      <c r="V384" s="9">
        <v>2</v>
      </c>
      <c r="W384" s="46">
        <f t="shared" ref="W384" si="436">IF(O384=R384,1,0)</f>
        <v>0</v>
      </c>
    </row>
    <row r="385" spans="2:23" ht="40" customHeight="1">
      <c r="B385" s="15"/>
      <c r="C385" s="25" t="s">
        <v>906</v>
      </c>
      <c r="D385" s="25"/>
      <c r="E385" s="25"/>
      <c r="F385" s="25" t="s">
        <v>907</v>
      </c>
      <c r="G385" s="25"/>
      <c r="H385" s="25"/>
      <c r="I385" s="25" t="s">
        <v>908</v>
      </c>
      <c r="J385" s="25"/>
      <c r="K385" s="25"/>
      <c r="L385" s="25" t="s">
        <v>909</v>
      </c>
      <c r="M385" s="25"/>
      <c r="N385" s="25"/>
      <c r="O385" s="18"/>
      <c r="P385" s="27"/>
      <c r="Q385" s="29"/>
      <c r="R385" s="30"/>
      <c r="U385">
        <v>383</v>
      </c>
      <c r="V385" s="9">
        <v>1</v>
      </c>
      <c r="W385" s="46"/>
    </row>
    <row r="386" spans="2:23" ht="40" customHeight="1">
      <c r="B386" s="14">
        <v>192</v>
      </c>
      <c r="C386" s="16" t="s">
        <v>910</v>
      </c>
      <c r="D386" s="16"/>
      <c r="E386" s="16"/>
      <c r="F386" s="16"/>
      <c r="G386" s="16"/>
      <c r="H386" s="16"/>
      <c r="I386" s="16"/>
      <c r="J386" s="16"/>
      <c r="K386" s="16"/>
      <c r="L386" s="16"/>
      <c r="M386" s="16"/>
      <c r="N386" s="16"/>
      <c r="O386" s="17"/>
      <c r="P386" s="19" t="str">
        <f t="shared" ref="P386" si="437">Q386</f>
        <v>×</v>
      </c>
      <c r="Q386" s="28" t="str">
        <f t="shared" ref="Q386" si="438">IF(O386=R386,$S$3,$T$3)</f>
        <v>×</v>
      </c>
      <c r="R386" s="23" t="s">
        <v>288</v>
      </c>
      <c r="U386">
        <v>384</v>
      </c>
      <c r="V386" s="9">
        <v>2</v>
      </c>
      <c r="W386" s="46">
        <f t="shared" ref="W386" si="439">IF(O386=R386,1,0)</f>
        <v>0</v>
      </c>
    </row>
    <row r="387" spans="2:23" ht="40" customHeight="1">
      <c r="B387" s="15"/>
      <c r="C387" s="25" t="s">
        <v>911</v>
      </c>
      <c r="D387" s="25"/>
      <c r="E387" s="25"/>
      <c r="F387" s="25" t="s">
        <v>912</v>
      </c>
      <c r="G387" s="25"/>
      <c r="H387" s="25"/>
      <c r="I387" s="25" t="s">
        <v>913</v>
      </c>
      <c r="J387" s="25"/>
      <c r="K387" s="25"/>
      <c r="L387" s="25" t="s">
        <v>914</v>
      </c>
      <c r="M387" s="25"/>
      <c r="N387" s="25"/>
      <c r="O387" s="18"/>
      <c r="P387" s="27"/>
      <c r="Q387" s="29"/>
      <c r="R387" s="30"/>
      <c r="U387">
        <v>385</v>
      </c>
      <c r="V387" s="9">
        <v>1</v>
      </c>
      <c r="W387" s="46"/>
    </row>
    <row r="388" spans="2:23" ht="40" customHeight="1">
      <c r="B388" s="14">
        <v>193</v>
      </c>
      <c r="C388" s="16" t="s">
        <v>915</v>
      </c>
      <c r="D388" s="16"/>
      <c r="E388" s="16"/>
      <c r="F388" s="16"/>
      <c r="G388" s="16"/>
      <c r="H388" s="16"/>
      <c r="I388" s="16"/>
      <c r="J388" s="16"/>
      <c r="K388" s="16"/>
      <c r="L388" s="16"/>
      <c r="M388" s="16"/>
      <c r="N388" s="16"/>
      <c r="O388" s="17"/>
      <c r="P388" s="19" t="str">
        <f t="shared" ref="P388" si="440">Q388</f>
        <v>×</v>
      </c>
      <c r="Q388" s="28" t="str">
        <f t="shared" ref="Q388" si="441">IF(O388=R388,$S$3,$T$3)</f>
        <v>×</v>
      </c>
      <c r="R388" s="23" t="s">
        <v>290</v>
      </c>
      <c r="U388">
        <v>386</v>
      </c>
      <c r="V388" s="9">
        <v>2</v>
      </c>
      <c r="W388" s="46">
        <f t="shared" ref="W388" si="442">IF(O388=R388,1,0)</f>
        <v>0</v>
      </c>
    </row>
    <row r="389" spans="2:23" ht="40" customHeight="1">
      <c r="B389" s="15"/>
      <c r="C389" s="25" t="s">
        <v>916</v>
      </c>
      <c r="D389" s="25"/>
      <c r="E389" s="25"/>
      <c r="F389" s="25" t="s">
        <v>917</v>
      </c>
      <c r="G389" s="25"/>
      <c r="H389" s="25"/>
      <c r="I389" s="25" t="s">
        <v>918</v>
      </c>
      <c r="J389" s="25"/>
      <c r="K389" s="25"/>
      <c r="L389" s="25" t="s">
        <v>919</v>
      </c>
      <c r="M389" s="25"/>
      <c r="N389" s="25"/>
      <c r="O389" s="18"/>
      <c r="P389" s="27"/>
      <c r="Q389" s="29"/>
      <c r="R389" s="30"/>
      <c r="U389">
        <v>387</v>
      </c>
      <c r="V389" s="9">
        <v>1</v>
      </c>
      <c r="W389" s="46"/>
    </row>
    <row r="390" spans="2:23" ht="40" customHeight="1">
      <c r="B390" s="14">
        <v>194</v>
      </c>
      <c r="C390" s="16" t="s">
        <v>920</v>
      </c>
      <c r="D390" s="16"/>
      <c r="E390" s="16"/>
      <c r="F390" s="16"/>
      <c r="G390" s="16"/>
      <c r="H390" s="16"/>
      <c r="I390" s="16"/>
      <c r="J390" s="16"/>
      <c r="K390" s="16"/>
      <c r="L390" s="16"/>
      <c r="M390" s="16"/>
      <c r="N390" s="16"/>
      <c r="O390" s="17"/>
      <c r="P390" s="19" t="str">
        <f t="shared" ref="P390" si="443">Q390</f>
        <v>×</v>
      </c>
      <c r="Q390" s="28" t="str">
        <f t="shared" ref="Q390" si="444">IF(O390=R390,$S$3,$T$3)</f>
        <v>×</v>
      </c>
      <c r="R390" s="23" t="s">
        <v>290</v>
      </c>
      <c r="U390">
        <v>388</v>
      </c>
      <c r="V390" s="9">
        <v>2</v>
      </c>
      <c r="W390" s="46">
        <f t="shared" ref="W390" si="445">IF(O390=R390,1,0)</f>
        <v>0</v>
      </c>
    </row>
    <row r="391" spans="2:23" ht="40" customHeight="1">
      <c r="B391" s="15"/>
      <c r="C391" s="25" t="s">
        <v>921</v>
      </c>
      <c r="D391" s="25"/>
      <c r="E391" s="25"/>
      <c r="F391" s="25" t="s">
        <v>922</v>
      </c>
      <c r="G391" s="25"/>
      <c r="H391" s="25"/>
      <c r="I391" s="25" t="s">
        <v>923</v>
      </c>
      <c r="J391" s="25"/>
      <c r="K391" s="25"/>
      <c r="L391" s="25" t="s">
        <v>924</v>
      </c>
      <c r="M391" s="25"/>
      <c r="N391" s="25"/>
      <c r="O391" s="18"/>
      <c r="P391" s="27"/>
      <c r="Q391" s="29"/>
      <c r="R391" s="30"/>
      <c r="U391">
        <v>389</v>
      </c>
      <c r="V391" s="9">
        <v>1</v>
      </c>
      <c r="W391" s="46"/>
    </row>
    <row r="392" spans="2:23" ht="40" customHeight="1">
      <c r="B392" s="14">
        <v>195</v>
      </c>
      <c r="C392" s="16" t="s">
        <v>925</v>
      </c>
      <c r="D392" s="16"/>
      <c r="E392" s="16"/>
      <c r="F392" s="16"/>
      <c r="G392" s="16"/>
      <c r="H392" s="16"/>
      <c r="I392" s="16"/>
      <c r="J392" s="16"/>
      <c r="K392" s="16"/>
      <c r="L392" s="16"/>
      <c r="M392" s="16"/>
      <c r="N392" s="16"/>
      <c r="O392" s="17"/>
      <c r="P392" s="19" t="str">
        <f t="shared" ref="P392" si="446">Q392</f>
        <v>×</v>
      </c>
      <c r="Q392" s="28" t="str">
        <f t="shared" ref="Q392" si="447">IF(O392=R392,$S$3,$T$3)</f>
        <v>×</v>
      </c>
      <c r="R392" s="23" t="s">
        <v>289</v>
      </c>
      <c r="U392">
        <v>390</v>
      </c>
      <c r="V392" s="9">
        <v>2</v>
      </c>
      <c r="W392" s="46">
        <f t="shared" ref="W392" si="448">IF(O392=R392,1,0)</f>
        <v>0</v>
      </c>
    </row>
    <row r="393" spans="2:23" ht="40" customHeight="1">
      <c r="B393" s="15"/>
      <c r="C393" s="25" t="s">
        <v>926</v>
      </c>
      <c r="D393" s="25"/>
      <c r="E393" s="25"/>
      <c r="F393" s="25" t="s">
        <v>927</v>
      </c>
      <c r="G393" s="25"/>
      <c r="H393" s="25"/>
      <c r="I393" s="25" t="s">
        <v>928</v>
      </c>
      <c r="J393" s="25"/>
      <c r="K393" s="25"/>
      <c r="L393" s="25" t="s">
        <v>929</v>
      </c>
      <c r="M393" s="25"/>
      <c r="N393" s="25"/>
      <c r="O393" s="18"/>
      <c r="P393" s="27"/>
      <c r="Q393" s="29"/>
      <c r="R393" s="30"/>
      <c r="U393">
        <v>391</v>
      </c>
      <c r="V393" s="9">
        <v>1</v>
      </c>
      <c r="W393" s="46"/>
    </row>
    <row r="394" spans="2:23" ht="40" customHeight="1">
      <c r="B394" s="14">
        <v>196</v>
      </c>
      <c r="C394" s="16" t="s">
        <v>930</v>
      </c>
      <c r="D394" s="16"/>
      <c r="E394" s="16"/>
      <c r="F394" s="16"/>
      <c r="G394" s="16"/>
      <c r="H394" s="16"/>
      <c r="I394" s="16"/>
      <c r="J394" s="16"/>
      <c r="K394" s="16"/>
      <c r="L394" s="16"/>
      <c r="M394" s="16"/>
      <c r="N394" s="16"/>
      <c r="O394" s="17"/>
      <c r="P394" s="19" t="str">
        <f t="shared" ref="P394" si="449">Q394</f>
        <v>×</v>
      </c>
      <c r="Q394" s="28" t="str">
        <f t="shared" ref="Q394" si="450">IF(O394=R394,$S$3,$T$3)</f>
        <v>×</v>
      </c>
      <c r="R394" s="23" t="s">
        <v>289</v>
      </c>
      <c r="U394">
        <v>392</v>
      </c>
      <c r="V394" s="9">
        <v>2</v>
      </c>
      <c r="W394" s="46">
        <f t="shared" ref="W394" si="451">IF(O394=R394,1,0)</f>
        <v>0</v>
      </c>
    </row>
    <row r="395" spans="2:23" ht="40" customHeight="1">
      <c r="B395" s="15"/>
      <c r="C395" s="25" t="s">
        <v>884</v>
      </c>
      <c r="D395" s="25"/>
      <c r="E395" s="25"/>
      <c r="F395" s="25" t="s">
        <v>931</v>
      </c>
      <c r="G395" s="25"/>
      <c r="H395" s="25"/>
      <c r="I395" s="25" t="s">
        <v>932</v>
      </c>
      <c r="J395" s="25"/>
      <c r="K395" s="25"/>
      <c r="L395" s="25" t="s">
        <v>886</v>
      </c>
      <c r="M395" s="25"/>
      <c r="N395" s="25"/>
      <c r="O395" s="18"/>
      <c r="P395" s="27"/>
      <c r="Q395" s="29"/>
      <c r="R395" s="30"/>
      <c r="U395">
        <v>393</v>
      </c>
      <c r="V395" s="9">
        <v>1</v>
      </c>
      <c r="W395" s="46"/>
    </row>
    <row r="396" spans="2:23" ht="40" customHeight="1">
      <c r="B396" s="14">
        <v>197</v>
      </c>
      <c r="C396" s="16" t="s">
        <v>933</v>
      </c>
      <c r="D396" s="16"/>
      <c r="E396" s="16"/>
      <c r="F396" s="16"/>
      <c r="G396" s="16"/>
      <c r="H396" s="16"/>
      <c r="I396" s="16"/>
      <c r="J396" s="16"/>
      <c r="K396" s="16"/>
      <c r="L396" s="16"/>
      <c r="M396" s="16"/>
      <c r="N396" s="16"/>
      <c r="O396" s="17"/>
      <c r="P396" s="19" t="str">
        <f t="shared" ref="P396" si="452">Q396</f>
        <v>×</v>
      </c>
      <c r="Q396" s="28" t="str">
        <f t="shared" ref="Q396" si="453">IF(O396=R396,$S$3,$T$3)</f>
        <v>×</v>
      </c>
      <c r="R396" s="23" t="s">
        <v>288</v>
      </c>
      <c r="U396">
        <v>394</v>
      </c>
      <c r="V396" s="9">
        <v>2</v>
      </c>
      <c r="W396" s="46">
        <f t="shared" ref="W396" si="454">IF(O396=R396,1,0)</f>
        <v>0</v>
      </c>
    </row>
    <row r="397" spans="2:23" ht="40" customHeight="1">
      <c r="B397" s="15"/>
      <c r="C397" s="25" t="s">
        <v>934</v>
      </c>
      <c r="D397" s="25"/>
      <c r="E397" s="25"/>
      <c r="F397" s="25" t="s">
        <v>935</v>
      </c>
      <c r="G397" s="25"/>
      <c r="H397" s="25"/>
      <c r="I397" s="25" t="s">
        <v>936</v>
      </c>
      <c r="J397" s="25"/>
      <c r="K397" s="25"/>
      <c r="L397" s="25" t="s">
        <v>937</v>
      </c>
      <c r="M397" s="25"/>
      <c r="N397" s="25"/>
      <c r="O397" s="18"/>
      <c r="P397" s="27"/>
      <c r="Q397" s="29"/>
      <c r="R397" s="30"/>
      <c r="U397">
        <v>395</v>
      </c>
      <c r="V397" s="9">
        <v>1</v>
      </c>
      <c r="W397" s="46"/>
    </row>
    <row r="398" spans="2:23" ht="40" customHeight="1">
      <c r="B398" s="14">
        <v>198</v>
      </c>
      <c r="C398" s="16" t="s">
        <v>938</v>
      </c>
      <c r="D398" s="16"/>
      <c r="E398" s="16"/>
      <c r="F398" s="16"/>
      <c r="G398" s="16"/>
      <c r="H398" s="16"/>
      <c r="I398" s="16"/>
      <c r="J398" s="16"/>
      <c r="K398" s="16"/>
      <c r="L398" s="16"/>
      <c r="M398" s="16"/>
      <c r="N398" s="16"/>
      <c r="O398" s="17"/>
      <c r="P398" s="19" t="str">
        <f t="shared" ref="P398" si="455">Q398</f>
        <v>×</v>
      </c>
      <c r="Q398" s="28" t="str">
        <f t="shared" ref="Q398" si="456">IF(O398=R398,$S$3,$T$3)</f>
        <v>×</v>
      </c>
      <c r="R398" s="23" t="s">
        <v>289</v>
      </c>
      <c r="U398">
        <v>396</v>
      </c>
      <c r="V398" s="9">
        <v>2</v>
      </c>
      <c r="W398" s="46">
        <f t="shared" ref="W398" si="457">IF(O398=R398,1,0)</f>
        <v>0</v>
      </c>
    </row>
    <row r="399" spans="2:23" ht="40" customHeight="1">
      <c r="B399" s="15"/>
      <c r="C399" s="25" t="s">
        <v>939</v>
      </c>
      <c r="D399" s="25"/>
      <c r="E399" s="25"/>
      <c r="F399" s="25" t="s">
        <v>940</v>
      </c>
      <c r="G399" s="25"/>
      <c r="H399" s="25"/>
      <c r="I399" s="25" t="s">
        <v>918</v>
      </c>
      <c r="J399" s="25"/>
      <c r="K399" s="25"/>
      <c r="L399" s="25" t="s">
        <v>941</v>
      </c>
      <c r="M399" s="25"/>
      <c r="N399" s="25"/>
      <c r="O399" s="18"/>
      <c r="P399" s="27"/>
      <c r="Q399" s="29"/>
      <c r="R399" s="30"/>
      <c r="U399">
        <v>397</v>
      </c>
      <c r="V399" s="9">
        <v>1</v>
      </c>
      <c r="W399" s="46"/>
    </row>
    <row r="400" spans="2:23" ht="40" customHeight="1">
      <c r="B400" s="14">
        <v>199</v>
      </c>
      <c r="C400" s="16" t="s">
        <v>942</v>
      </c>
      <c r="D400" s="16"/>
      <c r="E400" s="16"/>
      <c r="F400" s="16"/>
      <c r="G400" s="16"/>
      <c r="H400" s="16"/>
      <c r="I400" s="16"/>
      <c r="J400" s="16"/>
      <c r="K400" s="16"/>
      <c r="L400" s="16"/>
      <c r="M400" s="16"/>
      <c r="N400" s="16"/>
      <c r="O400" s="17"/>
      <c r="P400" s="19" t="str">
        <f t="shared" ref="P400" si="458">Q400</f>
        <v>×</v>
      </c>
      <c r="Q400" s="28" t="str">
        <f t="shared" ref="Q400" si="459">IF(O400=R400,$S$3,$T$3)</f>
        <v>×</v>
      </c>
      <c r="R400" s="23" t="s">
        <v>287</v>
      </c>
      <c r="U400">
        <v>398</v>
      </c>
      <c r="V400" s="9">
        <v>2</v>
      </c>
      <c r="W400" s="46">
        <f t="shared" ref="W400" si="460">IF(O400=R400,1,0)</f>
        <v>0</v>
      </c>
    </row>
    <row r="401" spans="2:23" ht="40" customHeight="1">
      <c r="B401" s="15"/>
      <c r="C401" s="25" t="s">
        <v>943</v>
      </c>
      <c r="D401" s="25"/>
      <c r="E401" s="25"/>
      <c r="F401" s="25" t="s">
        <v>944</v>
      </c>
      <c r="G401" s="25"/>
      <c r="H401" s="25"/>
      <c r="I401" s="25" t="s">
        <v>945</v>
      </c>
      <c r="J401" s="25"/>
      <c r="K401" s="25"/>
      <c r="L401" s="25" t="s">
        <v>946</v>
      </c>
      <c r="M401" s="25"/>
      <c r="N401" s="25"/>
      <c r="O401" s="18"/>
      <c r="P401" s="27"/>
      <c r="Q401" s="29"/>
      <c r="R401" s="30"/>
      <c r="U401">
        <v>399</v>
      </c>
      <c r="V401" s="9">
        <v>1</v>
      </c>
      <c r="W401" s="46"/>
    </row>
    <row r="402" spans="2:23" ht="40" customHeight="1">
      <c r="B402" s="14">
        <v>200</v>
      </c>
      <c r="C402" s="16" t="s">
        <v>995</v>
      </c>
      <c r="D402" s="16"/>
      <c r="E402" s="16"/>
      <c r="F402" s="16"/>
      <c r="G402" s="16"/>
      <c r="H402" s="16"/>
      <c r="I402" s="16"/>
      <c r="J402" s="16"/>
      <c r="K402" s="16"/>
      <c r="L402" s="16"/>
      <c r="M402" s="16"/>
      <c r="N402" s="16"/>
      <c r="O402" s="17"/>
      <c r="P402" s="19" t="str">
        <f t="shared" ref="P402" si="461">Q402</f>
        <v>×</v>
      </c>
      <c r="Q402" s="28" t="str">
        <f t="shared" ref="Q402" si="462">IF(O402=R402,$S$3,$T$3)</f>
        <v>×</v>
      </c>
      <c r="R402" s="23" t="s">
        <v>290</v>
      </c>
      <c r="U402">
        <v>400</v>
      </c>
      <c r="V402" s="9">
        <v>2</v>
      </c>
      <c r="W402" s="46">
        <f t="shared" ref="W402" si="463">IF(O402=R402,1,0)</f>
        <v>0</v>
      </c>
    </row>
    <row r="403" spans="2:23" ht="40" customHeight="1">
      <c r="B403" s="15"/>
      <c r="C403" s="25" t="s">
        <v>947</v>
      </c>
      <c r="D403" s="25"/>
      <c r="E403" s="25"/>
      <c r="F403" s="25" t="s">
        <v>948</v>
      </c>
      <c r="G403" s="25"/>
      <c r="H403" s="25"/>
      <c r="I403" s="25" t="s">
        <v>949</v>
      </c>
      <c r="J403" s="25"/>
      <c r="K403" s="25"/>
      <c r="L403" s="25" t="s">
        <v>950</v>
      </c>
      <c r="M403" s="25"/>
      <c r="N403" s="25"/>
      <c r="O403" s="18"/>
      <c r="P403" s="27"/>
      <c r="Q403" s="29"/>
      <c r="R403" s="30"/>
      <c r="U403">
        <v>401</v>
      </c>
      <c r="V403" s="9">
        <v>1</v>
      </c>
      <c r="W403" s="46"/>
    </row>
    <row r="404" spans="2:23" ht="40" customHeight="1">
      <c r="B404" s="14">
        <v>201</v>
      </c>
      <c r="C404" s="16" t="s">
        <v>996</v>
      </c>
      <c r="D404" s="16"/>
      <c r="E404" s="16"/>
      <c r="F404" s="16"/>
      <c r="G404" s="16"/>
      <c r="H404" s="16"/>
      <c r="I404" s="16"/>
      <c r="J404" s="16"/>
      <c r="K404" s="16"/>
      <c r="L404" s="16"/>
      <c r="M404" s="16"/>
      <c r="N404" s="16"/>
      <c r="O404" s="17"/>
      <c r="P404" s="19" t="str">
        <f t="shared" ref="P404" si="464">Q404</f>
        <v>×</v>
      </c>
      <c r="Q404" s="28" t="str">
        <f t="shared" ref="Q404" si="465">IF(O404=R404,$S$3,$T$3)</f>
        <v>×</v>
      </c>
      <c r="R404" s="23" t="s">
        <v>289</v>
      </c>
      <c r="U404">
        <v>402</v>
      </c>
      <c r="V404" s="9">
        <v>2</v>
      </c>
      <c r="W404" s="46">
        <f t="shared" ref="W404" si="466">IF(O404=R404,1,0)</f>
        <v>0</v>
      </c>
    </row>
    <row r="405" spans="2:23" ht="40" customHeight="1">
      <c r="B405" s="15"/>
      <c r="C405" s="25" t="s">
        <v>997</v>
      </c>
      <c r="D405" s="25"/>
      <c r="E405" s="25"/>
      <c r="F405" s="25" t="s">
        <v>998</v>
      </c>
      <c r="G405" s="25"/>
      <c r="H405" s="25"/>
      <c r="I405" s="25" t="s">
        <v>999</v>
      </c>
      <c r="J405" s="25"/>
      <c r="K405" s="25"/>
      <c r="L405" s="25" t="s">
        <v>1000</v>
      </c>
      <c r="M405" s="25"/>
      <c r="N405" s="25"/>
      <c r="O405" s="18"/>
      <c r="P405" s="27"/>
      <c r="Q405" s="29"/>
      <c r="R405" s="30"/>
      <c r="U405">
        <v>403</v>
      </c>
      <c r="V405" s="9">
        <v>1</v>
      </c>
      <c r="W405" s="46"/>
    </row>
    <row r="406" spans="2:23" ht="40" customHeight="1">
      <c r="B406" s="14">
        <v>202</v>
      </c>
      <c r="C406" s="16" t="s">
        <v>1001</v>
      </c>
      <c r="D406" s="16"/>
      <c r="E406" s="16"/>
      <c r="F406" s="16"/>
      <c r="G406" s="16"/>
      <c r="H406" s="16"/>
      <c r="I406" s="16"/>
      <c r="J406" s="16"/>
      <c r="K406" s="16"/>
      <c r="L406" s="16"/>
      <c r="M406" s="16"/>
      <c r="N406" s="16"/>
      <c r="O406" s="17"/>
      <c r="P406" s="19" t="str">
        <f t="shared" ref="P406" si="467">Q406</f>
        <v>×</v>
      </c>
      <c r="Q406" s="28" t="str">
        <f t="shared" ref="Q406" si="468">IF(O406=R406,$S$3,$T$3)</f>
        <v>×</v>
      </c>
      <c r="R406" s="23" t="s">
        <v>288</v>
      </c>
      <c r="U406">
        <v>404</v>
      </c>
      <c r="V406" s="9">
        <v>2</v>
      </c>
      <c r="W406" s="46">
        <f t="shared" ref="W406" si="469">IF(O406=R406,1,0)</f>
        <v>0</v>
      </c>
    </row>
    <row r="407" spans="2:23" ht="40" customHeight="1">
      <c r="B407" s="15"/>
      <c r="C407" s="25" t="s">
        <v>1002</v>
      </c>
      <c r="D407" s="25"/>
      <c r="E407" s="25"/>
      <c r="F407" s="25" t="s">
        <v>1003</v>
      </c>
      <c r="G407" s="25"/>
      <c r="H407" s="25"/>
      <c r="I407" s="25" t="s">
        <v>1004</v>
      </c>
      <c r="J407" s="25"/>
      <c r="K407" s="25"/>
      <c r="L407" s="25" t="s">
        <v>1005</v>
      </c>
      <c r="M407" s="25"/>
      <c r="N407" s="25"/>
      <c r="O407" s="18"/>
      <c r="P407" s="27"/>
      <c r="Q407" s="29"/>
      <c r="R407" s="30"/>
      <c r="U407">
        <v>405</v>
      </c>
      <c r="V407" s="9">
        <v>1</v>
      </c>
      <c r="W407" s="46"/>
    </row>
    <row r="408" spans="2:23" ht="40" customHeight="1">
      <c r="B408" s="14">
        <v>203</v>
      </c>
      <c r="C408" s="16" t="s">
        <v>1006</v>
      </c>
      <c r="D408" s="16"/>
      <c r="E408" s="16"/>
      <c r="F408" s="16"/>
      <c r="G408" s="16"/>
      <c r="H408" s="16"/>
      <c r="I408" s="16"/>
      <c r="J408" s="16"/>
      <c r="K408" s="16"/>
      <c r="L408" s="16"/>
      <c r="M408" s="16"/>
      <c r="N408" s="16"/>
      <c r="O408" s="17"/>
      <c r="P408" s="19" t="str">
        <f t="shared" ref="P408" si="470">Q408</f>
        <v>×</v>
      </c>
      <c r="Q408" s="28" t="str">
        <f t="shared" ref="Q408" si="471">IF(O408=R408,$S$3,$T$3)</f>
        <v>×</v>
      </c>
      <c r="R408" s="23" t="s">
        <v>290</v>
      </c>
      <c r="U408">
        <v>406</v>
      </c>
      <c r="V408" s="9">
        <v>2</v>
      </c>
      <c r="W408" s="46">
        <f t="shared" ref="W408" si="472">IF(O408=R408,1,0)</f>
        <v>0</v>
      </c>
    </row>
    <row r="409" spans="2:23" ht="40" customHeight="1">
      <c r="B409" s="15"/>
      <c r="C409" s="25" t="s">
        <v>1007</v>
      </c>
      <c r="D409" s="25"/>
      <c r="E409" s="25"/>
      <c r="F409" s="25" t="s">
        <v>1416</v>
      </c>
      <c r="G409" s="25"/>
      <c r="H409" s="25"/>
      <c r="I409" s="25" t="s">
        <v>1008</v>
      </c>
      <c r="J409" s="25"/>
      <c r="K409" s="25"/>
      <c r="L409" s="25" t="s">
        <v>1009</v>
      </c>
      <c r="M409" s="25"/>
      <c r="N409" s="25"/>
      <c r="O409" s="18"/>
      <c r="P409" s="27"/>
      <c r="Q409" s="29"/>
      <c r="R409" s="30"/>
      <c r="U409">
        <v>407</v>
      </c>
      <c r="V409" s="9">
        <v>1</v>
      </c>
      <c r="W409" s="46"/>
    </row>
    <row r="410" spans="2:23" ht="40" customHeight="1">
      <c r="B410" s="14">
        <v>204</v>
      </c>
      <c r="C410" s="16" t="s">
        <v>1010</v>
      </c>
      <c r="D410" s="16"/>
      <c r="E410" s="16"/>
      <c r="F410" s="16"/>
      <c r="G410" s="16"/>
      <c r="H410" s="16"/>
      <c r="I410" s="16"/>
      <c r="J410" s="16"/>
      <c r="K410" s="16"/>
      <c r="L410" s="16"/>
      <c r="M410" s="16"/>
      <c r="N410" s="16"/>
      <c r="O410" s="17"/>
      <c r="P410" s="19" t="str">
        <f t="shared" ref="P410" si="473">Q410</f>
        <v>×</v>
      </c>
      <c r="Q410" s="28" t="str">
        <f t="shared" ref="Q410" si="474">IF(O410=R410,$S$3,$T$3)</f>
        <v>×</v>
      </c>
      <c r="R410" s="23" t="s">
        <v>289</v>
      </c>
      <c r="U410">
        <v>408</v>
      </c>
      <c r="V410" s="9">
        <v>2</v>
      </c>
      <c r="W410" s="46">
        <f t="shared" ref="W410" si="475">IF(O410=R410,1,0)</f>
        <v>0</v>
      </c>
    </row>
    <row r="411" spans="2:23" ht="40" customHeight="1">
      <c r="B411" s="15"/>
      <c r="C411" s="25" t="s">
        <v>1011</v>
      </c>
      <c r="D411" s="25"/>
      <c r="E411" s="25"/>
      <c r="F411" s="25" t="s">
        <v>1012</v>
      </c>
      <c r="G411" s="25"/>
      <c r="H411" s="25"/>
      <c r="I411" s="25" t="s">
        <v>1013</v>
      </c>
      <c r="J411" s="25"/>
      <c r="K411" s="25"/>
      <c r="L411" s="25" t="s">
        <v>1014</v>
      </c>
      <c r="M411" s="25"/>
      <c r="N411" s="25"/>
      <c r="O411" s="18"/>
      <c r="P411" s="27"/>
      <c r="Q411" s="29"/>
      <c r="R411" s="30"/>
      <c r="U411">
        <v>409</v>
      </c>
      <c r="V411" s="9">
        <v>1</v>
      </c>
      <c r="W411" s="46"/>
    </row>
    <row r="412" spans="2:23" ht="40" customHeight="1">
      <c r="B412" s="14">
        <v>205</v>
      </c>
      <c r="C412" s="16" t="s">
        <v>1015</v>
      </c>
      <c r="D412" s="16"/>
      <c r="E412" s="16"/>
      <c r="F412" s="16"/>
      <c r="G412" s="16"/>
      <c r="H412" s="16"/>
      <c r="I412" s="16"/>
      <c r="J412" s="16"/>
      <c r="K412" s="16"/>
      <c r="L412" s="16"/>
      <c r="M412" s="16"/>
      <c r="N412" s="16"/>
      <c r="O412" s="17"/>
      <c r="P412" s="19" t="str">
        <f t="shared" ref="P412" si="476">Q412</f>
        <v>×</v>
      </c>
      <c r="Q412" s="28" t="str">
        <f t="shared" ref="Q412" si="477">IF(O412=R412,$S$3,$T$3)</f>
        <v>×</v>
      </c>
      <c r="R412" s="23" t="s">
        <v>289</v>
      </c>
      <c r="U412">
        <v>410</v>
      </c>
      <c r="V412" s="9">
        <v>2</v>
      </c>
      <c r="W412" s="46">
        <f t="shared" ref="W412" si="478">IF(O412=R412,1,0)</f>
        <v>0</v>
      </c>
    </row>
    <row r="413" spans="2:23" ht="40" customHeight="1">
      <c r="B413" s="15"/>
      <c r="C413" s="25" t="s">
        <v>1016</v>
      </c>
      <c r="D413" s="25"/>
      <c r="E413" s="25"/>
      <c r="F413" s="25" t="s">
        <v>1017</v>
      </c>
      <c r="G413" s="25"/>
      <c r="H413" s="25"/>
      <c r="I413" s="25" t="s">
        <v>1018</v>
      </c>
      <c r="J413" s="25"/>
      <c r="K413" s="25"/>
      <c r="L413" s="25" t="s">
        <v>1019</v>
      </c>
      <c r="M413" s="25"/>
      <c r="N413" s="25"/>
      <c r="O413" s="18"/>
      <c r="P413" s="27"/>
      <c r="Q413" s="29"/>
      <c r="R413" s="30"/>
      <c r="U413">
        <v>411</v>
      </c>
      <c r="V413" s="9">
        <v>1</v>
      </c>
      <c r="W413" s="46"/>
    </row>
    <row r="414" spans="2:23" ht="40" customHeight="1">
      <c r="B414" s="14">
        <v>206</v>
      </c>
      <c r="C414" s="16" t="s">
        <v>1020</v>
      </c>
      <c r="D414" s="16"/>
      <c r="E414" s="16"/>
      <c r="F414" s="16"/>
      <c r="G414" s="16"/>
      <c r="H414" s="16"/>
      <c r="I414" s="16"/>
      <c r="J414" s="16"/>
      <c r="K414" s="16"/>
      <c r="L414" s="16"/>
      <c r="M414" s="16"/>
      <c r="N414" s="16"/>
      <c r="O414" s="17"/>
      <c r="P414" s="19" t="str">
        <f t="shared" ref="P414" si="479">Q414</f>
        <v>×</v>
      </c>
      <c r="Q414" s="28" t="str">
        <f t="shared" ref="Q414" si="480">IF(O414=R414,$S$3,$T$3)</f>
        <v>×</v>
      </c>
      <c r="R414" s="23" t="s">
        <v>287</v>
      </c>
      <c r="U414">
        <v>412</v>
      </c>
      <c r="V414" s="9">
        <v>2</v>
      </c>
      <c r="W414" s="46">
        <f t="shared" ref="W414" si="481">IF(O414=R414,1,0)</f>
        <v>0</v>
      </c>
    </row>
    <row r="415" spans="2:23" ht="40" customHeight="1">
      <c r="B415" s="15"/>
      <c r="C415" s="25" t="s">
        <v>1021</v>
      </c>
      <c r="D415" s="25"/>
      <c r="E415" s="25"/>
      <c r="F415" s="25" t="s">
        <v>1022</v>
      </c>
      <c r="G415" s="25"/>
      <c r="H415" s="25"/>
      <c r="I415" s="25" t="s">
        <v>1023</v>
      </c>
      <c r="J415" s="25"/>
      <c r="K415" s="25"/>
      <c r="L415" s="25" t="s">
        <v>1024</v>
      </c>
      <c r="M415" s="25"/>
      <c r="N415" s="25"/>
      <c r="O415" s="18"/>
      <c r="P415" s="27"/>
      <c r="Q415" s="29"/>
      <c r="R415" s="30"/>
      <c r="U415">
        <v>413</v>
      </c>
      <c r="V415" s="9">
        <v>1</v>
      </c>
      <c r="W415" s="46"/>
    </row>
    <row r="416" spans="2:23" ht="40" customHeight="1">
      <c r="B416" s="14">
        <v>207</v>
      </c>
      <c r="C416" s="16" t="s">
        <v>1025</v>
      </c>
      <c r="D416" s="16"/>
      <c r="E416" s="16"/>
      <c r="F416" s="16"/>
      <c r="G416" s="16"/>
      <c r="H416" s="16"/>
      <c r="I416" s="16"/>
      <c r="J416" s="16"/>
      <c r="K416" s="16"/>
      <c r="L416" s="16"/>
      <c r="M416" s="16"/>
      <c r="N416" s="16"/>
      <c r="O416" s="17"/>
      <c r="P416" s="19" t="str">
        <f t="shared" ref="P416" si="482">Q416</f>
        <v>×</v>
      </c>
      <c r="Q416" s="28" t="str">
        <f t="shared" ref="Q416" si="483">IF(O416=R416,$S$3,$T$3)</f>
        <v>×</v>
      </c>
      <c r="R416" s="23" t="s">
        <v>287</v>
      </c>
      <c r="U416">
        <v>414</v>
      </c>
      <c r="V416" s="9">
        <v>2</v>
      </c>
      <c r="W416" s="46">
        <f t="shared" ref="W416" si="484">IF(O416=R416,1,0)</f>
        <v>0</v>
      </c>
    </row>
    <row r="417" spans="2:23" ht="40" customHeight="1">
      <c r="B417" s="15"/>
      <c r="C417" s="25" t="s">
        <v>1026</v>
      </c>
      <c r="D417" s="25"/>
      <c r="E417" s="25"/>
      <c r="F417" s="25" t="s">
        <v>1027</v>
      </c>
      <c r="G417" s="25"/>
      <c r="H417" s="25"/>
      <c r="I417" s="25" t="s">
        <v>1028</v>
      </c>
      <c r="J417" s="25"/>
      <c r="K417" s="25"/>
      <c r="L417" s="25" t="s">
        <v>1029</v>
      </c>
      <c r="M417" s="25"/>
      <c r="N417" s="25"/>
      <c r="O417" s="18"/>
      <c r="P417" s="27"/>
      <c r="Q417" s="29"/>
      <c r="R417" s="30"/>
      <c r="U417">
        <v>415</v>
      </c>
      <c r="V417" s="9">
        <v>1</v>
      </c>
      <c r="W417" s="46"/>
    </row>
    <row r="418" spans="2:23" ht="40" customHeight="1">
      <c r="B418" s="14">
        <v>208</v>
      </c>
      <c r="C418" s="16" t="s">
        <v>1030</v>
      </c>
      <c r="D418" s="16"/>
      <c r="E418" s="16"/>
      <c r="F418" s="16"/>
      <c r="G418" s="16"/>
      <c r="H418" s="16"/>
      <c r="I418" s="16"/>
      <c r="J418" s="16"/>
      <c r="K418" s="16"/>
      <c r="L418" s="16"/>
      <c r="M418" s="16"/>
      <c r="N418" s="16"/>
      <c r="O418" s="17"/>
      <c r="P418" s="19" t="str">
        <f t="shared" ref="P418" si="485">Q418</f>
        <v>×</v>
      </c>
      <c r="Q418" s="28" t="str">
        <f t="shared" ref="Q418" si="486">IF(O418=R418,$S$3,$T$3)</f>
        <v>×</v>
      </c>
      <c r="R418" s="23" t="s">
        <v>288</v>
      </c>
      <c r="U418">
        <v>416</v>
      </c>
      <c r="V418" s="9">
        <v>2</v>
      </c>
      <c r="W418" s="46">
        <f t="shared" ref="W418" si="487">IF(O418=R418,1,0)</f>
        <v>0</v>
      </c>
    </row>
    <row r="419" spans="2:23" ht="40" customHeight="1">
      <c r="B419" s="15"/>
      <c r="C419" s="25" t="s">
        <v>1031</v>
      </c>
      <c r="D419" s="25"/>
      <c r="E419" s="25"/>
      <c r="F419" s="25" t="s">
        <v>1032</v>
      </c>
      <c r="G419" s="25"/>
      <c r="H419" s="25"/>
      <c r="I419" s="25" t="s">
        <v>1033</v>
      </c>
      <c r="J419" s="25"/>
      <c r="K419" s="25"/>
      <c r="L419" s="25" t="s">
        <v>1034</v>
      </c>
      <c r="M419" s="25"/>
      <c r="N419" s="25"/>
      <c r="O419" s="18"/>
      <c r="P419" s="27"/>
      <c r="Q419" s="29"/>
      <c r="R419" s="30"/>
      <c r="U419">
        <v>417</v>
      </c>
      <c r="V419" s="9">
        <v>1</v>
      </c>
      <c r="W419" s="46"/>
    </row>
    <row r="420" spans="2:23" ht="40" customHeight="1">
      <c r="B420" s="14">
        <v>209</v>
      </c>
      <c r="C420" s="16" t="s">
        <v>1035</v>
      </c>
      <c r="D420" s="16"/>
      <c r="E420" s="16"/>
      <c r="F420" s="16"/>
      <c r="G420" s="16"/>
      <c r="H420" s="16"/>
      <c r="I420" s="16"/>
      <c r="J420" s="16"/>
      <c r="K420" s="16"/>
      <c r="L420" s="16"/>
      <c r="M420" s="16"/>
      <c r="N420" s="16"/>
      <c r="O420" s="17"/>
      <c r="P420" s="19" t="str">
        <f t="shared" ref="P420" si="488">Q420</f>
        <v>×</v>
      </c>
      <c r="Q420" s="28" t="str">
        <f t="shared" ref="Q420" si="489">IF(O420=R420,$S$3,$T$3)</f>
        <v>×</v>
      </c>
      <c r="R420" s="23" t="s">
        <v>288</v>
      </c>
      <c r="U420">
        <v>418</v>
      </c>
      <c r="V420" s="9">
        <v>2</v>
      </c>
      <c r="W420" s="46">
        <f t="shared" ref="W420" si="490">IF(O420=R420,1,0)</f>
        <v>0</v>
      </c>
    </row>
    <row r="421" spans="2:23" ht="40" customHeight="1">
      <c r="B421" s="15"/>
      <c r="C421" s="25" t="s">
        <v>1036</v>
      </c>
      <c r="D421" s="25"/>
      <c r="E421" s="25"/>
      <c r="F421" s="25" t="s">
        <v>1037</v>
      </c>
      <c r="G421" s="25"/>
      <c r="H421" s="25"/>
      <c r="I421" s="25" t="s">
        <v>1038</v>
      </c>
      <c r="J421" s="25"/>
      <c r="K421" s="25"/>
      <c r="L421" s="25" t="s">
        <v>1039</v>
      </c>
      <c r="M421" s="25"/>
      <c r="N421" s="25"/>
      <c r="O421" s="18"/>
      <c r="P421" s="27"/>
      <c r="Q421" s="29"/>
      <c r="R421" s="30"/>
      <c r="U421">
        <v>419</v>
      </c>
      <c r="V421" s="9">
        <v>1</v>
      </c>
      <c r="W421" s="46"/>
    </row>
    <row r="422" spans="2:23" ht="40" customHeight="1">
      <c r="B422" s="14">
        <v>210</v>
      </c>
      <c r="C422" s="16" t="s">
        <v>1040</v>
      </c>
      <c r="D422" s="16"/>
      <c r="E422" s="16"/>
      <c r="F422" s="16"/>
      <c r="G422" s="16"/>
      <c r="H422" s="16"/>
      <c r="I422" s="16"/>
      <c r="J422" s="16"/>
      <c r="K422" s="16"/>
      <c r="L422" s="16"/>
      <c r="M422" s="16"/>
      <c r="N422" s="16"/>
      <c r="O422" s="17"/>
      <c r="P422" s="19" t="str">
        <f t="shared" ref="P422" si="491">Q422</f>
        <v>×</v>
      </c>
      <c r="Q422" s="28" t="str">
        <f t="shared" ref="Q422" si="492">IF(O422=R422,$S$3,$T$3)</f>
        <v>×</v>
      </c>
      <c r="R422" s="23" t="s">
        <v>288</v>
      </c>
      <c r="U422">
        <v>420</v>
      </c>
      <c r="V422" s="9">
        <v>2</v>
      </c>
      <c r="W422" s="46">
        <f t="shared" ref="W422" si="493">IF(O422=R422,1,0)</f>
        <v>0</v>
      </c>
    </row>
    <row r="423" spans="2:23" ht="40" customHeight="1">
      <c r="B423" s="15"/>
      <c r="C423" s="25" t="s">
        <v>1041</v>
      </c>
      <c r="D423" s="25"/>
      <c r="E423" s="25"/>
      <c r="F423" s="25" t="s">
        <v>1042</v>
      </c>
      <c r="G423" s="25"/>
      <c r="H423" s="25"/>
      <c r="I423" s="25" t="s">
        <v>1043</v>
      </c>
      <c r="J423" s="25"/>
      <c r="K423" s="25"/>
      <c r="L423" s="25" t="s">
        <v>1044</v>
      </c>
      <c r="M423" s="25"/>
      <c r="N423" s="25"/>
      <c r="O423" s="18"/>
      <c r="P423" s="27"/>
      <c r="Q423" s="29"/>
      <c r="R423" s="30"/>
      <c r="U423">
        <v>421</v>
      </c>
      <c r="V423" s="9">
        <v>1</v>
      </c>
      <c r="W423" s="46"/>
    </row>
    <row r="424" spans="2:23" ht="40" customHeight="1">
      <c r="B424" s="14">
        <v>211</v>
      </c>
      <c r="C424" s="16" t="s">
        <v>1045</v>
      </c>
      <c r="D424" s="16"/>
      <c r="E424" s="16"/>
      <c r="F424" s="16"/>
      <c r="G424" s="16"/>
      <c r="H424" s="16"/>
      <c r="I424" s="16"/>
      <c r="J424" s="16"/>
      <c r="K424" s="16"/>
      <c r="L424" s="16"/>
      <c r="M424" s="16"/>
      <c r="N424" s="16"/>
      <c r="O424" s="17"/>
      <c r="P424" s="19" t="str">
        <f t="shared" ref="P424" si="494">Q424</f>
        <v>×</v>
      </c>
      <c r="Q424" s="28" t="str">
        <f t="shared" ref="Q424" si="495">IF(O424=R424,$S$3,$T$3)</f>
        <v>×</v>
      </c>
      <c r="R424" s="23" t="s">
        <v>288</v>
      </c>
      <c r="U424">
        <v>422</v>
      </c>
      <c r="V424" s="9">
        <v>2</v>
      </c>
      <c r="W424" s="46">
        <f t="shared" ref="W424" si="496">IF(O424=R424,1,0)</f>
        <v>0</v>
      </c>
    </row>
    <row r="425" spans="2:23" ht="40" customHeight="1">
      <c r="B425" s="15"/>
      <c r="C425" s="25" t="s">
        <v>1046</v>
      </c>
      <c r="D425" s="25"/>
      <c r="E425" s="25"/>
      <c r="F425" s="25" t="s">
        <v>1047</v>
      </c>
      <c r="G425" s="25"/>
      <c r="H425" s="25"/>
      <c r="I425" s="25" t="s">
        <v>1048</v>
      </c>
      <c r="J425" s="25"/>
      <c r="K425" s="25"/>
      <c r="L425" s="25" t="s">
        <v>1049</v>
      </c>
      <c r="M425" s="25"/>
      <c r="N425" s="25"/>
      <c r="O425" s="18"/>
      <c r="P425" s="27"/>
      <c r="Q425" s="29"/>
      <c r="R425" s="30"/>
      <c r="U425">
        <v>423</v>
      </c>
      <c r="V425" s="9">
        <v>1</v>
      </c>
      <c r="W425" s="46"/>
    </row>
    <row r="426" spans="2:23" ht="40" customHeight="1">
      <c r="B426" s="14">
        <v>212</v>
      </c>
      <c r="C426" s="40" t="s">
        <v>1406</v>
      </c>
      <c r="D426" s="16"/>
      <c r="E426" s="16"/>
      <c r="F426" s="16"/>
      <c r="G426" s="16"/>
      <c r="H426" s="16"/>
      <c r="I426" s="16"/>
      <c r="J426" s="16"/>
      <c r="K426" s="16"/>
      <c r="L426" s="16"/>
      <c r="M426" s="16"/>
      <c r="N426" s="16"/>
      <c r="O426" s="17"/>
      <c r="P426" s="19" t="str">
        <f t="shared" ref="P426" si="497">Q426</f>
        <v>×</v>
      </c>
      <c r="Q426" s="28" t="str">
        <f t="shared" ref="Q426" si="498">IF(O426=R426,$S$3,$T$3)</f>
        <v>×</v>
      </c>
      <c r="R426" s="23" t="s">
        <v>288</v>
      </c>
      <c r="U426">
        <v>424</v>
      </c>
      <c r="V426" s="9">
        <v>2</v>
      </c>
      <c r="W426" s="46">
        <f t="shared" ref="W426" si="499">IF(O426=R426,1,0)</f>
        <v>0</v>
      </c>
    </row>
    <row r="427" spans="2:23" ht="40" customHeight="1">
      <c r="B427" s="15"/>
      <c r="C427" s="25" t="s">
        <v>1050</v>
      </c>
      <c r="D427" s="25"/>
      <c r="E427" s="25"/>
      <c r="F427" s="25" t="s">
        <v>1051</v>
      </c>
      <c r="G427" s="25"/>
      <c r="H427" s="25"/>
      <c r="I427" s="25" t="s">
        <v>1052</v>
      </c>
      <c r="J427" s="25"/>
      <c r="K427" s="25"/>
      <c r="L427" s="25" t="s">
        <v>1053</v>
      </c>
      <c r="M427" s="25"/>
      <c r="N427" s="25"/>
      <c r="O427" s="18"/>
      <c r="P427" s="27"/>
      <c r="Q427" s="29"/>
      <c r="R427" s="30"/>
      <c r="U427">
        <v>425</v>
      </c>
      <c r="V427" s="9">
        <v>1</v>
      </c>
      <c r="W427" s="46"/>
    </row>
    <row r="428" spans="2:23" ht="40" customHeight="1">
      <c r="B428" s="14">
        <v>213</v>
      </c>
      <c r="C428" s="16" t="s">
        <v>1054</v>
      </c>
      <c r="D428" s="16"/>
      <c r="E428" s="16"/>
      <c r="F428" s="16"/>
      <c r="G428" s="16"/>
      <c r="H428" s="16"/>
      <c r="I428" s="16"/>
      <c r="J428" s="16"/>
      <c r="K428" s="16"/>
      <c r="L428" s="16"/>
      <c r="M428" s="16"/>
      <c r="N428" s="16"/>
      <c r="O428" s="17"/>
      <c r="P428" s="19" t="str">
        <f t="shared" ref="P428" si="500">Q428</f>
        <v>×</v>
      </c>
      <c r="Q428" s="28" t="str">
        <f t="shared" ref="Q428" si="501">IF(O428=R428,$S$3,$T$3)</f>
        <v>×</v>
      </c>
      <c r="R428" s="23" t="s">
        <v>290</v>
      </c>
      <c r="U428">
        <v>426</v>
      </c>
      <c r="V428" s="9">
        <v>2</v>
      </c>
      <c r="W428" s="46">
        <f t="shared" ref="W428" si="502">IF(O428=R428,1,0)</f>
        <v>0</v>
      </c>
    </row>
    <row r="429" spans="2:23" ht="40" customHeight="1">
      <c r="B429" s="15"/>
      <c r="C429" s="25" t="s">
        <v>1055</v>
      </c>
      <c r="D429" s="25"/>
      <c r="E429" s="25"/>
      <c r="F429" s="25" t="s">
        <v>1056</v>
      </c>
      <c r="G429" s="25"/>
      <c r="H429" s="25"/>
      <c r="I429" s="25" t="s">
        <v>1057</v>
      </c>
      <c r="J429" s="25"/>
      <c r="K429" s="25"/>
      <c r="L429" s="25" t="s">
        <v>1417</v>
      </c>
      <c r="M429" s="25"/>
      <c r="N429" s="25"/>
      <c r="O429" s="18"/>
      <c r="P429" s="27"/>
      <c r="Q429" s="29"/>
      <c r="R429" s="30"/>
      <c r="U429">
        <v>427</v>
      </c>
      <c r="V429" s="9">
        <v>1</v>
      </c>
      <c r="W429" s="46"/>
    </row>
    <row r="430" spans="2:23" ht="40" customHeight="1">
      <c r="B430" s="14">
        <v>214</v>
      </c>
      <c r="C430" s="53" t="s">
        <v>1404</v>
      </c>
      <c r="D430" s="54"/>
      <c r="E430" s="54"/>
      <c r="F430" s="54"/>
      <c r="G430" s="54"/>
      <c r="H430" s="54"/>
      <c r="I430" s="54"/>
      <c r="J430" s="54"/>
      <c r="K430" s="54"/>
      <c r="L430" s="54"/>
      <c r="M430" s="54"/>
      <c r="N430" s="54"/>
      <c r="O430" s="17"/>
      <c r="P430" s="19" t="str">
        <f t="shared" ref="P430" si="503">Q430</f>
        <v>×</v>
      </c>
      <c r="Q430" s="28" t="str">
        <f t="shared" ref="Q430" si="504">IF(O430=R430,$S$3,$T$3)</f>
        <v>×</v>
      </c>
      <c r="R430" s="23" t="s">
        <v>290</v>
      </c>
      <c r="U430">
        <v>428</v>
      </c>
      <c r="V430" s="9">
        <v>2</v>
      </c>
      <c r="W430" s="46">
        <f t="shared" ref="W430" si="505">IF(O430=R430,1,0)</f>
        <v>0</v>
      </c>
    </row>
    <row r="431" spans="2:23" ht="40" customHeight="1">
      <c r="B431" s="15"/>
      <c r="C431" s="25" t="s">
        <v>1058</v>
      </c>
      <c r="D431" s="25"/>
      <c r="E431" s="25"/>
      <c r="F431" s="25" t="s">
        <v>1051</v>
      </c>
      <c r="G431" s="25"/>
      <c r="H431" s="25"/>
      <c r="I431" s="25" t="s">
        <v>1059</v>
      </c>
      <c r="J431" s="25"/>
      <c r="K431" s="25"/>
      <c r="L431" s="25" t="s">
        <v>1060</v>
      </c>
      <c r="M431" s="25"/>
      <c r="N431" s="25"/>
      <c r="O431" s="18"/>
      <c r="P431" s="27"/>
      <c r="Q431" s="29"/>
      <c r="R431" s="30"/>
      <c r="U431">
        <v>429</v>
      </c>
      <c r="V431" s="9">
        <v>1</v>
      </c>
      <c r="W431" s="46"/>
    </row>
    <row r="432" spans="2:23" ht="40" customHeight="1">
      <c r="B432" s="14">
        <v>215</v>
      </c>
      <c r="C432" s="16" t="s">
        <v>1061</v>
      </c>
      <c r="D432" s="16"/>
      <c r="E432" s="16"/>
      <c r="F432" s="16"/>
      <c r="G432" s="16"/>
      <c r="H432" s="16"/>
      <c r="I432" s="16"/>
      <c r="J432" s="16"/>
      <c r="K432" s="16"/>
      <c r="L432" s="16"/>
      <c r="M432" s="16"/>
      <c r="N432" s="16"/>
      <c r="O432" s="17"/>
      <c r="P432" s="19" t="str">
        <f t="shared" ref="P432" si="506">Q432</f>
        <v>×</v>
      </c>
      <c r="Q432" s="28" t="str">
        <f t="shared" ref="Q432" si="507">IF(O432=R432,$S$3,$T$3)</f>
        <v>×</v>
      </c>
      <c r="R432" s="23" t="s">
        <v>288</v>
      </c>
      <c r="U432">
        <v>430</v>
      </c>
      <c r="V432" s="9">
        <v>2</v>
      </c>
      <c r="W432" s="46">
        <f t="shared" ref="W432" si="508">IF(O432=R432,1,0)</f>
        <v>0</v>
      </c>
    </row>
    <row r="433" spans="2:23" ht="40" customHeight="1">
      <c r="B433" s="15"/>
      <c r="C433" s="25" t="s">
        <v>1062</v>
      </c>
      <c r="D433" s="25"/>
      <c r="E433" s="25"/>
      <c r="F433" s="25" t="s">
        <v>1063</v>
      </c>
      <c r="G433" s="25"/>
      <c r="H433" s="25"/>
      <c r="I433" s="25" t="s">
        <v>1064</v>
      </c>
      <c r="J433" s="25"/>
      <c r="K433" s="25"/>
      <c r="L433" s="25" t="s">
        <v>1065</v>
      </c>
      <c r="M433" s="25"/>
      <c r="N433" s="25"/>
      <c r="O433" s="18"/>
      <c r="P433" s="27"/>
      <c r="Q433" s="29"/>
      <c r="R433" s="30"/>
      <c r="U433">
        <v>431</v>
      </c>
      <c r="V433" s="9">
        <v>1</v>
      </c>
      <c r="W433" s="46"/>
    </row>
    <row r="434" spans="2:23" ht="40" customHeight="1">
      <c r="B434" s="14">
        <v>216</v>
      </c>
      <c r="C434" s="40" t="s">
        <v>1298</v>
      </c>
      <c r="D434" s="16"/>
      <c r="E434" s="16"/>
      <c r="F434" s="16"/>
      <c r="G434" s="16"/>
      <c r="H434" s="16"/>
      <c r="I434" s="16"/>
      <c r="J434" s="16"/>
      <c r="K434" s="16"/>
      <c r="L434" s="16"/>
      <c r="M434" s="16"/>
      <c r="N434" s="16"/>
      <c r="O434" s="17"/>
      <c r="P434" s="19" t="str">
        <f t="shared" ref="P434" si="509">Q434</f>
        <v>×</v>
      </c>
      <c r="Q434" s="28" t="str">
        <f t="shared" ref="Q434" si="510">IF(O434=R434,$S$3,$T$3)</f>
        <v>×</v>
      </c>
      <c r="R434" s="23" t="s">
        <v>288</v>
      </c>
      <c r="U434">
        <v>432</v>
      </c>
      <c r="V434" s="9">
        <v>2</v>
      </c>
      <c r="W434" s="46">
        <f t="shared" ref="W434" si="511">IF(O434=R434,1,0)</f>
        <v>0</v>
      </c>
    </row>
    <row r="435" spans="2:23" ht="40" customHeight="1">
      <c r="B435" s="15"/>
      <c r="C435" s="25" t="s">
        <v>1066</v>
      </c>
      <c r="D435" s="25"/>
      <c r="E435" s="25"/>
      <c r="F435" s="25" t="s">
        <v>1067</v>
      </c>
      <c r="G435" s="25"/>
      <c r="H435" s="25"/>
      <c r="I435" s="25" t="s">
        <v>1068</v>
      </c>
      <c r="J435" s="25"/>
      <c r="K435" s="25"/>
      <c r="L435" s="25" t="s">
        <v>1060</v>
      </c>
      <c r="M435" s="25"/>
      <c r="N435" s="25"/>
      <c r="O435" s="18"/>
      <c r="P435" s="27"/>
      <c r="Q435" s="29"/>
      <c r="R435" s="30"/>
      <c r="U435">
        <v>433</v>
      </c>
      <c r="V435" s="9">
        <v>1</v>
      </c>
      <c r="W435" s="46"/>
    </row>
    <row r="436" spans="2:23" ht="40" customHeight="1">
      <c r="B436" s="14">
        <v>217</v>
      </c>
      <c r="C436" s="16" t="s">
        <v>1069</v>
      </c>
      <c r="D436" s="16"/>
      <c r="E436" s="16"/>
      <c r="F436" s="16"/>
      <c r="G436" s="16"/>
      <c r="H436" s="16"/>
      <c r="I436" s="16"/>
      <c r="J436" s="16"/>
      <c r="K436" s="16"/>
      <c r="L436" s="16"/>
      <c r="M436" s="16"/>
      <c r="N436" s="16"/>
      <c r="O436" s="17"/>
      <c r="P436" s="19" t="str">
        <f t="shared" ref="P436" si="512">Q436</f>
        <v>×</v>
      </c>
      <c r="Q436" s="28" t="str">
        <f t="shared" ref="Q436" si="513">IF(O436=R436,$S$3,$T$3)</f>
        <v>×</v>
      </c>
      <c r="R436" s="23" t="s">
        <v>288</v>
      </c>
      <c r="U436">
        <v>434</v>
      </c>
      <c r="V436" s="9">
        <v>2</v>
      </c>
      <c r="W436" s="46">
        <f t="shared" ref="W436" si="514">IF(O436=R436,1,0)</f>
        <v>0</v>
      </c>
    </row>
    <row r="437" spans="2:23" ht="40" customHeight="1">
      <c r="B437" s="15"/>
      <c r="C437" s="25" t="s">
        <v>1070</v>
      </c>
      <c r="D437" s="25"/>
      <c r="E437" s="25"/>
      <c r="F437" s="25" t="s">
        <v>1071</v>
      </c>
      <c r="G437" s="25"/>
      <c r="H437" s="25"/>
      <c r="I437" s="25" t="s">
        <v>1072</v>
      </c>
      <c r="J437" s="25"/>
      <c r="K437" s="25"/>
      <c r="L437" s="25" t="s">
        <v>1073</v>
      </c>
      <c r="M437" s="25"/>
      <c r="N437" s="25"/>
      <c r="O437" s="18"/>
      <c r="P437" s="27"/>
      <c r="Q437" s="29"/>
      <c r="R437" s="30"/>
      <c r="U437">
        <v>435</v>
      </c>
      <c r="V437" s="9">
        <v>1</v>
      </c>
      <c r="W437" s="46"/>
    </row>
    <row r="438" spans="2:23" ht="40" customHeight="1">
      <c r="B438" s="14">
        <v>218</v>
      </c>
      <c r="C438" s="16" t="s">
        <v>1074</v>
      </c>
      <c r="D438" s="16"/>
      <c r="E438" s="16"/>
      <c r="F438" s="16"/>
      <c r="G438" s="16"/>
      <c r="H438" s="16"/>
      <c r="I438" s="16"/>
      <c r="J438" s="16"/>
      <c r="K438" s="16"/>
      <c r="L438" s="16"/>
      <c r="M438" s="16"/>
      <c r="N438" s="16"/>
      <c r="O438" s="17"/>
      <c r="P438" s="19" t="str">
        <f t="shared" ref="P438" si="515">Q438</f>
        <v>×</v>
      </c>
      <c r="Q438" s="28" t="str">
        <f t="shared" ref="Q438" si="516">IF(O438=R438,$S$3,$T$3)</f>
        <v>×</v>
      </c>
      <c r="R438" s="23" t="s">
        <v>289</v>
      </c>
      <c r="U438">
        <v>436</v>
      </c>
      <c r="V438" s="9">
        <v>2</v>
      </c>
      <c r="W438" s="46">
        <f t="shared" ref="W438" si="517">IF(O438=R438,1,0)</f>
        <v>0</v>
      </c>
    </row>
    <row r="439" spans="2:23" ht="40" customHeight="1">
      <c r="B439" s="15"/>
      <c r="C439" s="25" t="s">
        <v>1075</v>
      </c>
      <c r="D439" s="25"/>
      <c r="E439" s="25"/>
      <c r="F439" s="25" t="s">
        <v>1076</v>
      </c>
      <c r="G439" s="25"/>
      <c r="H439" s="25"/>
      <c r="I439" s="25" t="s">
        <v>1077</v>
      </c>
      <c r="J439" s="25"/>
      <c r="K439" s="25"/>
      <c r="L439" s="25" t="s">
        <v>1078</v>
      </c>
      <c r="M439" s="25"/>
      <c r="N439" s="25"/>
      <c r="O439" s="18"/>
      <c r="P439" s="27"/>
      <c r="Q439" s="29"/>
      <c r="R439" s="30"/>
      <c r="U439">
        <v>437</v>
      </c>
      <c r="V439" s="9">
        <v>1</v>
      </c>
      <c r="W439" s="46"/>
    </row>
    <row r="440" spans="2:23" ht="40" customHeight="1">
      <c r="B440" s="14">
        <v>219</v>
      </c>
      <c r="C440" s="16" t="s">
        <v>1407</v>
      </c>
      <c r="D440" s="16"/>
      <c r="E440" s="16"/>
      <c r="F440" s="16"/>
      <c r="G440" s="16"/>
      <c r="H440" s="16"/>
      <c r="I440" s="16"/>
      <c r="J440" s="16"/>
      <c r="K440" s="16"/>
      <c r="L440" s="16"/>
      <c r="M440" s="16"/>
      <c r="N440" s="16"/>
      <c r="O440" s="17"/>
      <c r="P440" s="19" t="str">
        <f t="shared" ref="P440:P492" si="518">Q440</f>
        <v>×</v>
      </c>
      <c r="Q440" s="28" t="str">
        <f t="shared" ref="Q440" si="519">IF(O440=R440,$S$3,$T$3)</f>
        <v>×</v>
      </c>
      <c r="R440" s="23" t="s">
        <v>287</v>
      </c>
      <c r="U440">
        <v>438</v>
      </c>
      <c r="V440" s="9">
        <v>2</v>
      </c>
      <c r="W440" s="46">
        <f t="shared" ref="W440" si="520">IF(O440=R440,1,0)</f>
        <v>0</v>
      </c>
    </row>
    <row r="441" spans="2:23" ht="40" customHeight="1">
      <c r="B441" s="15"/>
      <c r="C441" s="25" t="s">
        <v>1079</v>
      </c>
      <c r="D441" s="25"/>
      <c r="E441" s="25"/>
      <c r="F441" s="25" t="s">
        <v>1080</v>
      </c>
      <c r="G441" s="25"/>
      <c r="H441" s="25"/>
      <c r="I441" s="25" t="s">
        <v>1081</v>
      </c>
      <c r="J441" s="25"/>
      <c r="K441" s="25"/>
      <c r="L441" s="25" t="s">
        <v>1082</v>
      </c>
      <c r="M441" s="25"/>
      <c r="N441" s="25"/>
      <c r="O441" s="18"/>
      <c r="P441" s="27"/>
      <c r="Q441" s="29"/>
      <c r="R441" s="30"/>
      <c r="U441">
        <v>439</v>
      </c>
      <c r="V441" s="9">
        <v>1</v>
      </c>
      <c r="W441" s="46"/>
    </row>
    <row r="442" spans="2:23" ht="40" customHeight="1">
      <c r="B442" s="14">
        <v>220</v>
      </c>
      <c r="C442" s="16" t="s">
        <v>1083</v>
      </c>
      <c r="D442" s="16"/>
      <c r="E442" s="16"/>
      <c r="F442" s="16"/>
      <c r="G442" s="16"/>
      <c r="H442" s="16"/>
      <c r="I442" s="16"/>
      <c r="J442" s="16"/>
      <c r="K442" s="16"/>
      <c r="L442" s="16"/>
      <c r="M442" s="16"/>
      <c r="N442" s="16"/>
      <c r="O442" s="17"/>
      <c r="P442" s="19" t="str">
        <f t="shared" si="518"/>
        <v>×</v>
      </c>
      <c r="Q442" s="28" t="str">
        <f t="shared" ref="Q442" si="521">IF(O442=R442,$S$3,$T$3)</f>
        <v>×</v>
      </c>
      <c r="R442" s="23" t="s">
        <v>289</v>
      </c>
      <c r="U442">
        <v>440</v>
      </c>
      <c r="V442" s="9">
        <v>2</v>
      </c>
      <c r="W442" s="46">
        <f t="shared" ref="W442" si="522">IF(O442=R442,1,0)</f>
        <v>0</v>
      </c>
    </row>
    <row r="443" spans="2:23" ht="40" customHeight="1">
      <c r="B443" s="15"/>
      <c r="C443" s="25" t="s">
        <v>1084</v>
      </c>
      <c r="D443" s="25"/>
      <c r="E443" s="25"/>
      <c r="F443" s="25" t="s">
        <v>1085</v>
      </c>
      <c r="G443" s="25"/>
      <c r="H443" s="25"/>
      <c r="I443" s="25" t="s">
        <v>1086</v>
      </c>
      <c r="J443" s="25"/>
      <c r="K443" s="25"/>
      <c r="L443" s="25" t="s">
        <v>1087</v>
      </c>
      <c r="M443" s="25"/>
      <c r="N443" s="25"/>
      <c r="O443" s="18"/>
      <c r="P443" s="27"/>
      <c r="Q443" s="29"/>
      <c r="R443" s="30"/>
      <c r="U443">
        <v>441</v>
      </c>
      <c r="V443" s="9">
        <v>1</v>
      </c>
      <c r="W443" s="46"/>
    </row>
    <row r="444" spans="2:23" ht="40" customHeight="1">
      <c r="B444" s="14">
        <v>221</v>
      </c>
      <c r="C444" s="16" t="s">
        <v>1088</v>
      </c>
      <c r="D444" s="16"/>
      <c r="E444" s="16"/>
      <c r="F444" s="16"/>
      <c r="G444" s="16"/>
      <c r="H444" s="16"/>
      <c r="I444" s="16"/>
      <c r="J444" s="16"/>
      <c r="K444" s="16"/>
      <c r="L444" s="16"/>
      <c r="M444" s="16"/>
      <c r="N444" s="16"/>
      <c r="O444" s="17"/>
      <c r="P444" s="19" t="str">
        <f t="shared" si="518"/>
        <v>×</v>
      </c>
      <c r="Q444" s="28" t="str">
        <f t="shared" ref="Q444" si="523">IF(O444=R444,$S$3,$T$3)</f>
        <v>×</v>
      </c>
      <c r="R444" s="23" t="s">
        <v>289</v>
      </c>
      <c r="U444">
        <v>442</v>
      </c>
      <c r="V444" s="9">
        <v>2</v>
      </c>
      <c r="W444" s="46">
        <f t="shared" ref="W444" si="524">IF(O444=R444,1,0)</f>
        <v>0</v>
      </c>
    </row>
    <row r="445" spans="2:23" ht="40" customHeight="1">
      <c r="B445" s="15"/>
      <c r="C445" s="25" t="s">
        <v>1089</v>
      </c>
      <c r="D445" s="25"/>
      <c r="E445" s="25"/>
      <c r="F445" s="25" t="s">
        <v>1090</v>
      </c>
      <c r="G445" s="25"/>
      <c r="H445" s="25"/>
      <c r="I445" s="25" t="s">
        <v>1091</v>
      </c>
      <c r="J445" s="25"/>
      <c r="K445" s="25"/>
      <c r="L445" s="25" t="s">
        <v>1092</v>
      </c>
      <c r="M445" s="25"/>
      <c r="N445" s="25"/>
      <c r="O445" s="18"/>
      <c r="P445" s="27"/>
      <c r="Q445" s="29"/>
      <c r="R445" s="30"/>
      <c r="U445">
        <v>443</v>
      </c>
      <c r="V445" s="9">
        <v>1</v>
      </c>
      <c r="W445" s="46"/>
    </row>
    <row r="446" spans="2:23" ht="40" customHeight="1">
      <c r="B446" s="14">
        <v>222</v>
      </c>
      <c r="C446" s="16" t="s">
        <v>1093</v>
      </c>
      <c r="D446" s="16"/>
      <c r="E446" s="16"/>
      <c r="F446" s="16"/>
      <c r="G446" s="16"/>
      <c r="H446" s="16"/>
      <c r="I446" s="16"/>
      <c r="J446" s="16"/>
      <c r="K446" s="16"/>
      <c r="L446" s="16"/>
      <c r="M446" s="16"/>
      <c r="N446" s="16"/>
      <c r="O446" s="17"/>
      <c r="P446" s="19" t="str">
        <f t="shared" si="518"/>
        <v>×</v>
      </c>
      <c r="Q446" s="28" t="str">
        <f t="shared" ref="Q446" si="525">IF(O446=R446,$S$3,$T$3)</f>
        <v>×</v>
      </c>
      <c r="R446" s="23" t="s">
        <v>289</v>
      </c>
      <c r="U446">
        <v>444</v>
      </c>
      <c r="V446" s="9">
        <v>2</v>
      </c>
      <c r="W446" s="46">
        <f t="shared" ref="W446" si="526">IF(O446=R446,1,0)</f>
        <v>0</v>
      </c>
    </row>
    <row r="447" spans="2:23" ht="40" customHeight="1">
      <c r="B447" s="15"/>
      <c r="C447" s="25" t="s">
        <v>1094</v>
      </c>
      <c r="D447" s="25"/>
      <c r="E447" s="25"/>
      <c r="F447" s="25" t="s">
        <v>1095</v>
      </c>
      <c r="G447" s="25"/>
      <c r="H447" s="25"/>
      <c r="I447" s="25" t="s">
        <v>1096</v>
      </c>
      <c r="J447" s="25"/>
      <c r="K447" s="25"/>
      <c r="L447" s="25" t="s">
        <v>1097</v>
      </c>
      <c r="M447" s="25"/>
      <c r="N447" s="25"/>
      <c r="O447" s="18"/>
      <c r="P447" s="27"/>
      <c r="Q447" s="29"/>
      <c r="R447" s="30"/>
      <c r="U447">
        <v>445</v>
      </c>
      <c r="V447" s="9">
        <v>1</v>
      </c>
      <c r="W447" s="46"/>
    </row>
    <row r="448" spans="2:23" ht="40" customHeight="1">
      <c r="B448" s="14">
        <v>223</v>
      </c>
      <c r="C448" s="16" t="s">
        <v>1098</v>
      </c>
      <c r="D448" s="16"/>
      <c r="E448" s="16"/>
      <c r="F448" s="16"/>
      <c r="G448" s="16"/>
      <c r="H448" s="16"/>
      <c r="I448" s="16"/>
      <c r="J448" s="16"/>
      <c r="K448" s="16"/>
      <c r="L448" s="16"/>
      <c r="M448" s="16"/>
      <c r="N448" s="16"/>
      <c r="O448" s="17"/>
      <c r="P448" s="19" t="str">
        <f t="shared" si="518"/>
        <v>×</v>
      </c>
      <c r="Q448" s="28" t="str">
        <f t="shared" ref="Q448" si="527">IF(O448=R448,$S$3,$T$3)</f>
        <v>×</v>
      </c>
      <c r="R448" s="23" t="s">
        <v>290</v>
      </c>
      <c r="U448">
        <v>446</v>
      </c>
      <c r="V448" s="9">
        <v>2</v>
      </c>
      <c r="W448" s="46">
        <f t="shared" ref="W448" si="528">IF(O448=R448,1,0)</f>
        <v>0</v>
      </c>
    </row>
    <row r="449" spans="2:23" ht="40" customHeight="1">
      <c r="B449" s="15"/>
      <c r="C449" s="25" t="s">
        <v>1099</v>
      </c>
      <c r="D449" s="25"/>
      <c r="E449" s="25"/>
      <c r="F449" s="25" t="s">
        <v>1085</v>
      </c>
      <c r="G449" s="25"/>
      <c r="H449" s="25"/>
      <c r="I449" s="25" t="s">
        <v>1100</v>
      </c>
      <c r="J449" s="25"/>
      <c r="K449" s="25"/>
      <c r="L449" s="25" t="s">
        <v>1101</v>
      </c>
      <c r="M449" s="25"/>
      <c r="N449" s="25"/>
      <c r="O449" s="18"/>
      <c r="P449" s="27"/>
      <c r="Q449" s="29"/>
      <c r="R449" s="30"/>
      <c r="U449">
        <v>447</v>
      </c>
      <c r="V449" s="9">
        <v>1</v>
      </c>
      <c r="W449" s="46"/>
    </row>
    <row r="450" spans="2:23" ht="40" customHeight="1">
      <c r="B450" s="14">
        <v>224</v>
      </c>
      <c r="C450" s="16" t="s">
        <v>1408</v>
      </c>
      <c r="D450" s="16"/>
      <c r="E450" s="16"/>
      <c r="F450" s="16"/>
      <c r="G450" s="16"/>
      <c r="H450" s="16"/>
      <c r="I450" s="16"/>
      <c r="J450" s="16"/>
      <c r="K450" s="16"/>
      <c r="L450" s="16"/>
      <c r="M450" s="16"/>
      <c r="N450" s="16"/>
      <c r="O450" s="17"/>
      <c r="P450" s="19" t="str">
        <f t="shared" si="518"/>
        <v>×</v>
      </c>
      <c r="Q450" s="28" t="str">
        <f t="shared" ref="Q450" si="529">IF(O450=R450,$S$3,$T$3)</f>
        <v>×</v>
      </c>
      <c r="R450" s="23" t="s">
        <v>287</v>
      </c>
      <c r="U450">
        <v>448</v>
      </c>
      <c r="V450" s="9">
        <v>2</v>
      </c>
      <c r="W450" s="46">
        <f t="shared" ref="W450" si="530">IF(O450=R450,1,0)</f>
        <v>0</v>
      </c>
    </row>
    <row r="451" spans="2:23" ht="40" customHeight="1">
      <c r="B451" s="15"/>
      <c r="C451" s="25" t="s">
        <v>1102</v>
      </c>
      <c r="D451" s="25"/>
      <c r="E451" s="25"/>
      <c r="F451" s="25" t="s">
        <v>1103</v>
      </c>
      <c r="G451" s="25"/>
      <c r="H451" s="25"/>
      <c r="I451" s="25" t="s">
        <v>1104</v>
      </c>
      <c r="J451" s="25"/>
      <c r="K451" s="25"/>
      <c r="L451" s="25" t="s">
        <v>1105</v>
      </c>
      <c r="M451" s="25"/>
      <c r="N451" s="25"/>
      <c r="O451" s="18"/>
      <c r="P451" s="27"/>
      <c r="Q451" s="29"/>
      <c r="R451" s="30"/>
      <c r="U451">
        <v>449</v>
      </c>
      <c r="V451" s="9">
        <v>1</v>
      </c>
      <c r="W451" s="46"/>
    </row>
    <row r="452" spans="2:23" ht="40" customHeight="1">
      <c r="B452" s="14">
        <v>225</v>
      </c>
      <c r="C452" s="16" t="s">
        <v>1106</v>
      </c>
      <c r="D452" s="16"/>
      <c r="E452" s="16"/>
      <c r="F452" s="16"/>
      <c r="G452" s="16"/>
      <c r="H452" s="16"/>
      <c r="I452" s="16"/>
      <c r="J452" s="16"/>
      <c r="K452" s="16"/>
      <c r="L452" s="16"/>
      <c r="M452" s="16"/>
      <c r="N452" s="16"/>
      <c r="O452" s="17"/>
      <c r="P452" s="19" t="str">
        <f t="shared" si="518"/>
        <v>×</v>
      </c>
      <c r="Q452" s="28" t="str">
        <f t="shared" ref="Q452" si="531">IF(O452=R452,$S$3,$T$3)</f>
        <v>×</v>
      </c>
      <c r="R452" s="23" t="s">
        <v>290</v>
      </c>
      <c r="U452">
        <v>450</v>
      </c>
      <c r="V452" s="9">
        <v>2</v>
      </c>
      <c r="W452" s="46">
        <f t="shared" ref="W452" si="532">IF(O452=R452,1,0)</f>
        <v>0</v>
      </c>
    </row>
    <row r="453" spans="2:23" ht="40" customHeight="1">
      <c r="B453" s="15"/>
      <c r="C453" s="25" t="s">
        <v>1107</v>
      </c>
      <c r="D453" s="25"/>
      <c r="E453" s="25"/>
      <c r="F453" s="25" t="s">
        <v>1108</v>
      </c>
      <c r="G453" s="25"/>
      <c r="H453" s="25"/>
      <c r="I453" s="25" t="s">
        <v>1109</v>
      </c>
      <c r="J453" s="25"/>
      <c r="K453" s="25"/>
      <c r="L453" s="25" t="s">
        <v>1110</v>
      </c>
      <c r="M453" s="25"/>
      <c r="N453" s="25"/>
      <c r="O453" s="18"/>
      <c r="P453" s="27"/>
      <c r="Q453" s="29"/>
      <c r="R453" s="30"/>
      <c r="U453">
        <v>451</v>
      </c>
      <c r="V453" s="9">
        <v>1</v>
      </c>
      <c r="W453" s="46"/>
    </row>
    <row r="454" spans="2:23" ht="40" customHeight="1">
      <c r="B454" s="14">
        <v>226</v>
      </c>
      <c r="C454" s="16" t="s">
        <v>1111</v>
      </c>
      <c r="D454" s="16"/>
      <c r="E454" s="16"/>
      <c r="F454" s="16"/>
      <c r="G454" s="16"/>
      <c r="H454" s="16"/>
      <c r="I454" s="16"/>
      <c r="J454" s="16"/>
      <c r="K454" s="16"/>
      <c r="L454" s="16"/>
      <c r="M454" s="16"/>
      <c r="N454" s="16"/>
      <c r="O454" s="17"/>
      <c r="P454" s="19" t="str">
        <f t="shared" si="518"/>
        <v>×</v>
      </c>
      <c r="Q454" s="28" t="str">
        <f t="shared" ref="Q454" si="533">IF(O454=R454,$S$3,$T$3)</f>
        <v>×</v>
      </c>
      <c r="R454" s="23" t="s">
        <v>289</v>
      </c>
      <c r="U454">
        <v>452</v>
      </c>
      <c r="V454" s="9">
        <v>2</v>
      </c>
      <c r="W454" s="46">
        <f t="shared" ref="W454" si="534">IF(O454=R454,1,0)</f>
        <v>0</v>
      </c>
    </row>
    <row r="455" spans="2:23" ht="40" customHeight="1">
      <c r="B455" s="15"/>
      <c r="C455" s="25" t="s">
        <v>1112</v>
      </c>
      <c r="D455" s="25"/>
      <c r="E455" s="25"/>
      <c r="F455" s="25" t="s">
        <v>1113</v>
      </c>
      <c r="G455" s="25"/>
      <c r="H455" s="25"/>
      <c r="I455" s="25" t="s">
        <v>1114</v>
      </c>
      <c r="J455" s="25"/>
      <c r="K455" s="25"/>
      <c r="L455" s="25" t="s">
        <v>1115</v>
      </c>
      <c r="M455" s="25"/>
      <c r="N455" s="25"/>
      <c r="O455" s="18"/>
      <c r="P455" s="27"/>
      <c r="Q455" s="29"/>
      <c r="R455" s="30"/>
      <c r="U455">
        <v>453</v>
      </c>
      <c r="V455" s="9">
        <v>1</v>
      </c>
      <c r="W455" s="46"/>
    </row>
    <row r="456" spans="2:23" ht="40" customHeight="1">
      <c r="B456" s="14">
        <v>227</v>
      </c>
      <c r="C456" s="16" t="s">
        <v>1116</v>
      </c>
      <c r="D456" s="16"/>
      <c r="E456" s="16"/>
      <c r="F456" s="16"/>
      <c r="G456" s="16"/>
      <c r="H456" s="16"/>
      <c r="I456" s="16"/>
      <c r="J456" s="16"/>
      <c r="K456" s="16"/>
      <c r="L456" s="16"/>
      <c r="M456" s="16"/>
      <c r="N456" s="16"/>
      <c r="O456" s="17"/>
      <c r="P456" s="19" t="str">
        <f t="shared" si="518"/>
        <v>×</v>
      </c>
      <c r="Q456" s="28" t="str">
        <f t="shared" ref="Q456" si="535">IF(O456=R456,$S$3,$T$3)</f>
        <v>×</v>
      </c>
      <c r="R456" s="23" t="s">
        <v>290</v>
      </c>
      <c r="U456">
        <v>454</v>
      </c>
      <c r="V456" s="9">
        <v>2</v>
      </c>
      <c r="W456" s="46">
        <f t="shared" ref="W456" si="536">IF(O456=R456,1,0)</f>
        <v>0</v>
      </c>
    </row>
    <row r="457" spans="2:23" ht="40" customHeight="1">
      <c r="B457" s="15"/>
      <c r="C457" s="25" t="s">
        <v>1117</v>
      </c>
      <c r="D457" s="25"/>
      <c r="E457" s="25"/>
      <c r="F457" s="25" t="s">
        <v>1118</v>
      </c>
      <c r="G457" s="25"/>
      <c r="H457" s="25"/>
      <c r="I457" s="25" t="s">
        <v>1119</v>
      </c>
      <c r="J457" s="25"/>
      <c r="K457" s="25"/>
      <c r="L457" s="25" t="s">
        <v>1120</v>
      </c>
      <c r="M457" s="25"/>
      <c r="N457" s="25"/>
      <c r="O457" s="18"/>
      <c r="P457" s="27"/>
      <c r="Q457" s="29"/>
      <c r="R457" s="30"/>
      <c r="U457">
        <v>455</v>
      </c>
      <c r="V457" s="9">
        <v>1</v>
      </c>
      <c r="W457" s="46"/>
    </row>
    <row r="458" spans="2:23" ht="40" customHeight="1">
      <c r="B458" s="14">
        <v>228</v>
      </c>
      <c r="C458" s="16" t="s">
        <v>1409</v>
      </c>
      <c r="D458" s="16"/>
      <c r="E458" s="16"/>
      <c r="F458" s="16"/>
      <c r="G458" s="16"/>
      <c r="H458" s="16"/>
      <c r="I458" s="16"/>
      <c r="J458" s="16"/>
      <c r="K458" s="16"/>
      <c r="L458" s="16"/>
      <c r="M458" s="16"/>
      <c r="N458" s="16"/>
      <c r="O458" s="17"/>
      <c r="P458" s="19" t="str">
        <f t="shared" si="518"/>
        <v>×</v>
      </c>
      <c r="Q458" s="28" t="str">
        <f t="shared" ref="Q458" si="537">IF(O458=R458,$S$3,$T$3)</f>
        <v>×</v>
      </c>
      <c r="R458" s="23" t="s">
        <v>289</v>
      </c>
      <c r="U458">
        <v>456</v>
      </c>
      <c r="V458" s="9">
        <v>2</v>
      </c>
      <c r="W458" s="46">
        <f t="shared" ref="W458" si="538">IF(O458=R458,1,0)</f>
        <v>0</v>
      </c>
    </row>
    <row r="459" spans="2:23" ht="40" customHeight="1">
      <c r="B459" s="15"/>
      <c r="C459" s="25" t="s">
        <v>1121</v>
      </c>
      <c r="D459" s="25"/>
      <c r="E459" s="25"/>
      <c r="F459" s="25" t="s">
        <v>1122</v>
      </c>
      <c r="G459" s="25"/>
      <c r="H459" s="25"/>
      <c r="I459" s="25" t="s">
        <v>1123</v>
      </c>
      <c r="J459" s="25"/>
      <c r="K459" s="25"/>
      <c r="L459" s="25" t="s">
        <v>1124</v>
      </c>
      <c r="M459" s="25"/>
      <c r="N459" s="25"/>
      <c r="O459" s="18"/>
      <c r="P459" s="27"/>
      <c r="Q459" s="29"/>
      <c r="R459" s="30"/>
      <c r="U459">
        <v>457</v>
      </c>
      <c r="V459" s="9">
        <v>1</v>
      </c>
      <c r="W459" s="46"/>
    </row>
    <row r="460" spans="2:23" ht="40" customHeight="1">
      <c r="B460" s="14">
        <v>229</v>
      </c>
      <c r="C460" s="16" t="s">
        <v>1125</v>
      </c>
      <c r="D460" s="16"/>
      <c r="E460" s="16"/>
      <c r="F460" s="16"/>
      <c r="G460" s="16"/>
      <c r="H460" s="16"/>
      <c r="I460" s="16"/>
      <c r="J460" s="16"/>
      <c r="K460" s="16"/>
      <c r="L460" s="16"/>
      <c r="M460" s="16"/>
      <c r="N460" s="16"/>
      <c r="O460" s="17"/>
      <c r="P460" s="19" t="str">
        <f t="shared" si="518"/>
        <v>×</v>
      </c>
      <c r="Q460" s="28" t="str">
        <f t="shared" ref="Q460" si="539">IF(O460=R460,$S$3,$T$3)</f>
        <v>×</v>
      </c>
      <c r="R460" s="23" t="s">
        <v>288</v>
      </c>
      <c r="U460">
        <v>458</v>
      </c>
      <c r="V460" s="9">
        <v>2</v>
      </c>
      <c r="W460" s="46">
        <f t="shared" ref="W460" si="540">IF(O460=R460,1,0)</f>
        <v>0</v>
      </c>
    </row>
    <row r="461" spans="2:23" ht="40" customHeight="1">
      <c r="B461" s="15"/>
      <c r="C461" s="25" t="s">
        <v>1126</v>
      </c>
      <c r="D461" s="25"/>
      <c r="E461" s="25"/>
      <c r="F461" s="25" t="s">
        <v>1127</v>
      </c>
      <c r="G461" s="25"/>
      <c r="H461" s="25"/>
      <c r="I461" s="25" t="s">
        <v>1128</v>
      </c>
      <c r="J461" s="25"/>
      <c r="K461" s="25"/>
      <c r="L461" s="25" t="s">
        <v>1129</v>
      </c>
      <c r="M461" s="25"/>
      <c r="N461" s="25"/>
      <c r="O461" s="18"/>
      <c r="P461" s="27"/>
      <c r="Q461" s="29"/>
      <c r="R461" s="30"/>
      <c r="U461">
        <v>459</v>
      </c>
      <c r="V461" s="9">
        <v>1</v>
      </c>
      <c r="W461" s="46"/>
    </row>
    <row r="462" spans="2:23" ht="40" customHeight="1">
      <c r="B462" s="14">
        <v>230</v>
      </c>
      <c r="C462" s="16" t="s">
        <v>1130</v>
      </c>
      <c r="D462" s="16"/>
      <c r="E462" s="16"/>
      <c r="F462" s="16"/>
      <c r="G462" s="16"/>
      <c r="H462" s="16"/>
      <c r="I462" s="16"/>
      <c r="J462" s="16"/>
      <c r="K462" s="16"/>
      <c r="L462" s="16"/>
      <c r="M462" s="16"/>
      <c r="N462" s="16"/>
      <c r="O462" s="17"/>
      <c r="P462" s="19" t="str">
        <f t="shared" si="518"/>
        <v>×</v>
      </c>
      <c r="Q462" s="28" t="str">
        <f t="shared" ref="Q462" si="541">IF(O462=R462,$S$3,$T$3)</f>
        <v>×</v>
      </c>
      <c r="R462" s="23" t="s">
        <v>290</v>
      </c>
      <c r="U462">
        <v>460</v>
      </c>
      <c r="V462" s="9">
        <v>2</v>
      </c>
      <c r="W462" s="46">
        <f t="shared" ref="W462" si="542">IF(O462=R462,1,0)</f>
        <v>0</v>
      </c>
    </row>
    <row r="463" spans="2:23" ht="40" customHeight="1">
      <c r="B463" s="15"/>
      <c r="C463" s="25" t="s">
        <v>1131</v>
      </c>
      <c r="D463" s="25"/>
      <c r="E463" s="25"/>
      <c r="F463" s="25" t="s">
        <v>1132</v>
      </c>
      <c r="G463" s="25"/>
      <c r="H463" s="25"/>
      <c r="I463" s="25" t="s">
        <v>1133</v>
      </c>
      <c r="J463" s="25"/>
      <c r="K463" s="25"/>
      <c r="L463" s="25" t="s">
        <v>1134</v>
      </c>
      <c r="M463" s="25"/>
      <c r="N463" s="25"/>
      <c r="O463" s="18"/>
      <c r="P463" s="27"/>
      <c r="Q463" s="29"/>
      <c r="R463" s="30"/>
      <c r="U463">
        <v>461</v>
      </c>
      <c r="V463" s="9">
        <v>1</v>
      </c>
      <c r="W463" s="46"/>
    </row>
    <row r="464" spans="2:23" ht="40" customHeight="1">
      <c r="B464" s="14">
        <v>231</v>
      </c>
      <c r="C464" s="16" t="s">
        <v>1299</v>
      </c>
      <c r="D464" s="16"/>
      <c r="E464" s="16"/>
      <c r="F464" s="16"/>
      <c r="G464" s="16"/>
      <c r="H464" s="16"/>
      <c r="I464" s="16"/>
      <c r="J464" s="16"/>
      <c r="K464" s="16"/>
      <c r="L464" s="16"/>
      <c r="M464" s="16"/>
      <c r="N464" s="16"/>
      <c r="O464" s="17"/>
      <c r="P464" s="19" t="str">
        <f t="shared" si="518"/>
        <v>×</v>
      </c>
      <c r="Q464" s="28" t="str">
        <f t="shared" ref="Q464" si="543">IF(O464=R464,$S$3,$T$3)</f>
        <v>×</v>
      </c>
      <c r="R464" s="23" t="s">
        <v>288</v>
      </c>
      <c r="U464">
        <v>462</v>
      </c>
      <c r="V464" s="9">
        <v>2</v>
      </c>
      <c r="W464" s="46">
        <f t="shared" ref="W464" si="544">IF(O464=R464,1,0)</f>
        <v>0</v>
      </c>
    </row>
    <row r="465" spans="2:23" ht="40" customHeight="1">
      <c r="B465" s="15"/>
      <c r="C465" s="25" t="s">
        <v>1135</v>
      </c>
      <c r="D465" s="25"/>
      <c r="E465" s="25"/>
      <c r="F465" s="25" t="s">
        <v>1136</v>
      </c>
      <c r="G465" s="25"/>
      <c r="H465" s="25"/>
      <c r="I465" s="25" t="s">
        <v>1137</v>
      </c>
      <c r="J465" s="25"/>
      <c r="K465" s="25"/>
      <c r="L465" s="25" t="s">
        <v>1138</v>
      </c>
      <c r="M465" s="25"/>
      <c r="N465" s="25"/>
      <c r="O465" s="18"/>
      <c r="P465" s="27"/>
      <c r="Q465" s="29"/>
      <c r="R465" s="30"/>
      <c r="U465">
        <v>463</v>
      </c>
      <c r="V465" s="9">
        <v>1</v>
      </c>
      <c r="W465" s="46"/>
    </row>
    <row r="466" spans="2:23" ht="40" customHeight="1">
      <c r="B466" s="14">
        <v>232</v>
      </c>
      <c r="C466" s="16" t="s">
        <v>1139</v>
      </c>
      <c r="D466" s="16"/>
      <c r="E466" s="16"/>
      <c r="F466" s="16"/>
      <c r="G466" s="16"/>
      <c r="H466" s="16"/>
      <c r="I466" s="16"/>
      <c r="J466" s="16"/>
      <c r="K466" s="16"/>
      <c r="L466" s="16"/>
      <c r="M466" s="16"/>
      <c r="N466" s="16"/>
      <c r="O466" s="17"/>
      <c r="P466" s="19" t="str">
        <f t="shared" si="518"/>
        <v>×</v>
      </c>
      <c r="Q466" s="28" t="str">
        <f t="shared" ref="Q466" si="545">IF(O466=R466,$S$3,$T$3)</f>
        <v>×</v>
      </c>
      <c r="R466" s="23" t="s">
        <v>288</v>
      </c>
      <c r="U466">
        <v>464</v>
      </c>
      <c r="V466" s="9">
        <v>2</v>
      </c>
      <c r="W466" s="46">
        <f t="shared" ref="W466" si="546">IF(O466=R466,1,0)</f>
        <v>0</v>
      </c>
    </row>
    <row r="467" spans="2:23" ht="40" customHeight="1">
      <c r="B467" s="15"/>
      <c r="C467" s="25" t="s">
        <v>1140</v>
      </c>
      <c r="D467" s="25"/>
      <c r="E467" s="25"/>
      <c r="F467" s="25" t="s">
        <v>1141</v>
      </c>
      <c r="G467" s="25"/>
      <c r="H467" s="25"/>
      <c r="I467" s="25" t="s">
        <v>1142</v>
      </c>
      <c r="J467" s="25"/>
      <c r="K467" s="25"/>
      <c r="L467" s="25" t="s">
        <v>1143</v>
      </c>
      <c r="M467" s="25"/>
      <c r="N467" s="25"/>
      <c r="O467" s="18"/>
      <c r="P467" s="27"/>
      <c r="Q467" s="29"/>
      <c r="R467" s="30"/>
      <c r="U467">
        <v>465</v>
      </c>
      <c r="V467" s="9">
        <v>1</v>
      </c>
      <c r="W467" s="46"/>
    </row>
    <row r="468" spans="2:23" ht="40" customHeight="1">
      <c r="B468" s="14">
        <v>233</v>
      </c>
      <c r="C468" s="16" t="s">
        <v>1144</v>
      </c>
      <c r="D468" s="16"/>
      <c r="E468" s="16"/>
      <c r="F468" s="16"/>
      <c r="G468" s="16"/>
      <c r="H468" s="16"/>
      <c r="I468" s="16"/>
      <c r="J468" s="16"/>
      <c r="K468" s="16"/>
      <c r="L468" s="16"/>
      <c r="M468" s="16"/>
      <c r="N468" s="16"/>
      <c r="O468" s="17"/>
      <c r="P468" s="19" t="str">
        <f t="shared" si="518"/>
        <v>×</v>
      </c>
      <c r="Q468" s="28" t="str">
        <f t="shared" ref="Q468" si="547">IF(O468=R468,$S$3,$T$3)</f>
        <v>×</v>
      </c>
      <c r="R468" s="23" t="s">
        <v>288</v>
      </c>
      <c r="U468">
        <v>466</v>
      </c>
      <c r="V468" s="9">
        <v>2</v>
      </c>
      <c r="W468" s="46">
        <f t="shared" ref="W468" si="548">IF(O468=R468,1,0)</f>
        <v>0</v>
      </c>
    </row>
    <row r="469" spans="2:23" ht="40" customHeight="1">
      <c r="B469" s="15"/>
      <c r="C469" s="25" t="s">
        <v>1145</v>
      </c>
      <c r="D469" s="25"/>
      <c r="E469" s="25"/>
      <c r="F469" s="25" t="s">
        <v>1146</v>
      </c>
      <c r="G469" s="25"/>
      <c r="H469" s="25"/>
      <c r="I469" s="25" t="s">
        <v>1147</v>
      </c>
      <c r="J469" s="25"/>
      <c r="K469" s="25"/>
      <c r="L469" s="25" t="s">
        <v>1148</v>
      </c>
      <c r="M469" s="25"/>
      <c r="N469" s="25"/>
      <c r="O469" s="18"/>
      <c r="P469" s="27"/>
      <c r="Q469" s="29"/>
      <c r="R469" s="30"/>
      <c r="U469">
        <v>467</v>
      </c>
      <c r="V469" s="9">
        <v>1</v>
      </c>
      <c r="W469" s="46"/>
    </row>
    <row r="470" spans="2:23" ht="40" customHeight="1">
      <c r="B470" s="14">
        <v>234</v>
      </c>
      <c r="C470" s="16" t="s">
        <v>1149</v>
      </c>
      <c r="D470" s="16"/>
      <c r="E470" s="16"/>
      <c r="F470" s="16"/>
      <c r="G470" s="16"/>
      <c r="H470" s="16"/>
      <c r="I470" s="16"/>
      <c r="J470" s="16"/>
      <c r="K470" s="16"/>
      <c r="L470" s="16"/>
      <c r="M470" s="16"/>
      <c r="N470" s="16"/>
      <c r="O470" s="17"/>
      <c r="P470" s="19" t="str">
        <f t="shared" si="518"/>
        <v>×</v>
      </c>
      <c r="Q470" s="28" t="str">
        <f t="shared" ref="Q470" si="549">IF(O470=R470,$S$3,$T$3)</f>
        <v>×</v>
      </c>
      <c r="R470" s="23" t="s">
        <v>287</v>
      </c>
      <c r="U470">
        <v>468</v>
      </c>
      <c r="V470" s="9">
        <v>2</v>
      </c>
      <c r="W470" s="46">
        <f t="shared" ref="W470" si="550">IF(O470=R470,1,0)</f>
        <v>0</v>
      </c>
    </row>
    <row r="471" spans="2:23" ht="40" customHeight="1">
      <c r="B471" s="15"/>
      <c r="C471" s="25" t="s">
        <v>1150</v>
      </c>
      <c r="D471" s="25"/>
      <c r="E471" s="25"/>
      <c r="F471" s="25" t="s">
        <v>1418</v>
      </c>
      <c r="G471" s="25"/>
      <c r="H471" s="25"/>
      <c r="I471" s="25" t="s">
        <v>1151</v>
      </c>
      <c r="J471" s="25"/>
      <c r="K471" s="25"/>
      <c r="L471" s="25" t="s">
        <v>1152</v>
      </c>
      <c r="M471" s="25"/>
      <c r="N471" s="25"/>
      <c r="O471" s="18"/>
      <c r="P471" s="27"/>
      <c r="Q471" s="29"/>
      <c r="R471" s="30"/>
      <c r="U471">
        <v>469</v>
      </c>
      <c r="V471" s="9">
        <v>1</v>
      </c>
      <c r="W471" s="46"/>
    </row>
    <row r="472" spans="2:23" ht="40" customHeight="1">
      <c r="B472" s="14">
        <v>235</v>
      </c>
      <c r="C472" s="16" t="s">
        <v>1153</v>
      </c>
      <c r="D472" s="16"/>
      <c r="E472" s="16"/>
      <c r="F472" s="16"/>
      <c r="G472" s="16"/>
      <c r="H472" s="16"/>
      <c r="I472" s="16"/>
      <c r="J472" s="16"/>
      <c r="K472" s="16"/>
      <c r="L472" s="16"/>
      <c r="M472" s="16"/>
      <c r="N472" s="16"/>
      <c r="O472" s="17"/>
      <c r="P472" s="19" t="str">
        <f t="shared" si="518"/>
        <v>×</v>
      </c>
      <c r="Q472" s="28" t="str">
        <f t="shared" ref="Q472" si="551">IF(O472=R472,$S$3,$T$3)</f>
        <v>×</v>
      </c>
      <c r="R472" s="23" t="s">
        <v>289</v>
      </c>
      <c r="U472">
        <v>470</v>
      </c>
      <c r="V472" s="9">
        <v>2</v>
      </c>
      <c r="W472" s="46">
        <f t="shared" ref="W472" si="552">IF(O472=R472,1,0)</f>
        <v>0</v>
      </c>
    </row>
    <row r="473" spans="2:23" ht="40" customHeight="1">
      <c r="B473" s="15"/>
      <c r="C473" s="25" t="s">
        <v>1154</v>
      </c>
      <c r="D473" s="25"/>
      <c r="E473" s="25"/>
      <c r="F473" s="25" t="s">
        <v>1155</v>
      </c>
      <c r="G473" s="25"/>
      <c r="H473" s="25"/>
      <c r="I473" s="25" t="s">
        <v>1419</v>
      </c>
      <c r="J473" s="25"/>
      <c r="K473" s="25"/>
      <c r="L473" s="25" t="s">
        <v>1156</v>
      </c>
      <c r="M473" s="25"/>
      <c r="N473" s="25"/>
      <c r="O473" s="18"/>
      <c r="P473" s="27"/>
      <c r="Q473" s="29"/>
      <c r="R473" s="30"/>
      <c r="U473">
        <v>471</v>
      </c>
      <c r="V473" s="9">
        <v>1</v>
      </c>
      <c r="W473" s="46"/>
    </row>
    <row r="474" spans="2:23" ht="40" customHeight="1">
      <c r="B474" s="14">
        <v>236</v>
      </c>
      <c r="C474" s="16" t="s">
        <v>1157</v>
      </c>
      <c r="D474" s="16"/>
      <c r="E474" s="16"/>
      <c r="F474" s="16"/>
      <c r="G474" s="16"/>
      <c r="H474" s="16"/>
      <c r="I474" s="16"/>
      <c r="J474" s="16"/>
      <c r="K474" s="16"/>
      <c r="L474" s="16"/>
      <c r="M474" s="16"/>
      <c r="N474" s="16"/>
      <c r="O474" s="17"/>
      <c r="P474" s="19" t="str">
        <f t="shared" si="518"/>
        <v>×</v>
      </c>
      <c r="Q474" s="28" t="str">
        <f t="shared" ref="Q474" si="553">IF(O474=R474,$S$3,$T$3)</f>
        <v>×</v>
      </c>
      <c r="R474" s="23" t="s">
        <v>287</v>
      </c>
      <c r="U474">
        <v>472</v>
      </c>
      <c r="V474" s="9">
        <v>2</v>
      </c>
      <c r="W474" s="46">
        <f t="shared" ref="W474" si="554">IF(O474=R474,1,0)</f>
        <v>0</v>
      </c>
    </row>
    <row r="475" spans="2:23" ht="40" customHeight="1">
      <c r="B475" s="15"/>
      <c r="C475" s="25" t="s">
        <v>1158</v>
      </c>
      <c r="D475" s="25"/>
      <c r="E475" s="25"/>
      <c r="F475" s="25" t="s">
        <v>1159</v>
      </c>
      <c r="G475" s="25"/>
      <c r="H475" s="25"/>
      <c r="I475" s="25" t="s">
        <v>1160</v>
      </c>
      <c r="J475" s="25"/>
      <c r="K475" s="25"/>
      <c r="L475" s="25" t="s">
        <v>1161</v>
      </c>
      <c r="M475" s="25"/>
      <c r="N475" s="25"/>
      <c r="O475" s="18"/>
      <c r="P475" s="27"/>
      <c r="Q475" s="29"/>
      <c r="R475" s="30"/>
      <c r="U475">
        <v>473</v>
      </c>
      <c r="V475" s="9">
        <v>1</v>
      </c>
      <c r="W475" s="46"/>
    </row>
    <row r="476" spans="2:23" ht="40" customHeight="1">
      <c r="B476" s="14">
        <v>237</v>
      </c>
      <c r="C476" s="16" t="s">
        <v>1162</v>
      </c>
      <c r="D476" s="16"/>
      <c r="E476" s="16"/>
      <c r="F476" s="16"/>
      <c r="G476" s="16"/>
      <c r="H476" s="16"/>
      <c r="I476" s="16"/>
      <c r="J476" s="16"/>
      <c r="K476" s="16"/>
      <c r="L476" s="16"/>
      <c r="M476" s="16"/>
      <c r="N476" s="16"/>
      <c r="O476" s="17"/>
      <c r="P476" s="19" t="str">
        <f t="shared" si="518"/>
        <v>×</v>
      </c>
      <c r="Q476" s="28" t="str">
        <f t="shared" ref="Q476" si="555">IF(O476=R476,$S$3,$T$3)</f>
        <v>×</v>
      </c>
      <c r="R476" s="23" t="s">
        <v>288</v>
      </c>
      <c r="U476">
        <v>474</v>
      </c>
      <c r="V476" s="9">
        <v>2</v>
      </c>
      <c r="W476" s="46">
        <f t="shared" ref="W476" si="556">IF(O476=R476,1,0)</f>
        <v>0</v>
      </c>
    </row>
    <row r="477" spans="2:23" ht="40" customHeight="1">
      <c r="B477" s="15"/>
      <c r="C477" s="25" t="s">
        <v>1163</v>
      </c>
      <c r="D477" s="25"/>
      <c r="E477" s="25"/>
      <c r="F477" s="25" t="s">
        <v>1164</v>
      </c>
      <c r="G477" s="25"/>
      <c r="H477" s="25"/>
      <c r="I477" s="25" t="s">
        <v>1420</v>
      </c>
      <c r="J477" s="25"/>
      <c r="K477" s="25"/>
      <c r="L477" s="25" t="s">
        <v>95</v>
      </c>
      <c r="M477" s="25"/>
      <c r="N477" s="25"/>
      <c r="O477" s="18"/>
      <c r="P477" s="27"/>
      <c r="Q477" s="29"/>
      <c r="R477" s="30"/>
      <c r="U477">
        <v>475</v>
      </c>
      <c r="V477" s="9">
        <v>1</v>
      </c>
      <c r="W477" s="46"/>
    </row>
    <row r="478" spans="2:23" ht="40.5" customHeight="1">
      <c r="B478" s="14">
        <v>238</v>
      </c>
      <c r="C478" s="53" t="s">
        <v>1411</v>
      </c>
      <c r="D478" s="53"/>
      <c r="E478" s="53"/>
      <c r="F478" s="53"/>
      <c r="G478" s="53"/>
      <c r="H478" s="53"/>
      <c r="I478" s="53"/>
      <c r="J478" s="53"/>
      <c r="K478" s="53"/>
      <c r="L478" s="53"/>
      <c r="M478" s="53"/>
      <c r="N478" s="53"/>
      <c r="O478" s="17"/>
      <c r="P478" s="19" t="str">
        <f t="shared" si="518"/>
        <v>×</v>
      </c>
      <c r="Q478" s="28" t="str">
        <f t="shared" ref="Q478" si="557">IF(O478=R478,$S$3,$T$3)</f>
        <v>×</v>
      </c>
      <c r="R478" s="23" t="s">
        <v>287</v>
      </c>
      <c r="U478">
        <v>476</v>
      </c>
      <c r="V478" s="9">
        <v>2</v>
      </c>
      <c r="W478" s="46">
        <f t="shared" ref="W478" si="558">IF(O478=R478,1,0)</f>
        <v>0</v>
      </c>
    </row>
    <row r="479" spans="2:23" ht="40" customHeight="1">
      <c r="B479" s="15"/>
      <c r="C479" s="25" t="s">
        <v>1050</v>
      </c>
      <c r="D479" s="25"/>
      <c r="E479" s="25"/>
      <c r="F479" s="25" t="s">
        <v>1165</v>
      </c>
      <c r="G479" s="25"/>
      <c r="H479" s="25"/>
      <c r="I479" s="25" t="s">
        <v>1104</v>
      </c>
      <c r="J479" s="25"/>
      <c r="K479" s="25"/>
      <c r="L479" s="25" t="s">
        <v>1166</v>
      </c>
      <c r="M479" s="25"/>
      <c r="N479" s="25"/>
      <c r="O479" s="18"/>
      <c r="P479" s="27"/>
      <c r="Q479" s="29"/>
      <c r="R479" s="30"/>
      <c r="U479">
        <v>477</v>
      </c>
      <c r="V479" s="9">
        <v>1</v>
      </c>
      <c r="W479" s="46"/>
    </row>
    <row r="480" spans="2:23" ht="40" customHeight="1">
      <c r="B480" s="14">
        <v>239</v>
      </c>
      <c r="C480" s="16" t="s">
        <v>1300</v>
      </c>
      <c r="D480" s="16"/>
      <c r="E480" s="16"/>
      <c r="F480" s="16"/>
      <c r="G480" s="16"/>
      <c r="H480" s="16"/>
      <c r="I480" s="16"/>
      <c r="J480" s="16"/>
      <c r="K480" s="16"/>
      <c r="L480" s="16"/>
      <c r="M480" s="16"/>
      <c r="N480" s="16"/>
      <c r="O480" s="17"/>
      <c r="P480" s="19" t="str">
        <f t="shared" si="518"/>
        <v>×</v>
      </c>
      <c r="Q480" s="28" t="str">
        <f t="shared" ref="Q480" si="559">IF(O480=R480,$S$3,$T$3)</f>
        <v>×</v>
      </c>
      <c r="R480" s="23" t="s">
        <v>290</v>
      </c>
      <c r="U480">
        <v>478</v>
      </c>
      <c r="V480" s="9">
        <v>2</v>
      </c>
      <c r="W480" s="46">
        <f t="shared" ref="W480" si="560">IF(O480=R480,1,0)</f>
        <v>0</v>
      </c>
    </row>
    <row r="481" spans="2:23" ht="40" customHeight="1">
      <c r="B481" s="15"/>
      <c r="C481" s="25" t="s">
        <v>1167</v>
      </c>
      <c r="D481" s="25"/>
      <c r="E481" s="25"/>
      <c r="F481" s="25" t="s">
        <v>1168</v>
      </c>
      <c r="G481" s="25"/>
      <c r="H481" s="25"/>
      <c r="I481" s="25" t="s">
        <v>1421</v>
      </c>
      <c r="J481" s="25"/>
      <c r="K481" s="25"/>
      <c r="L481" s="25" t="s">
        <v>1169</v>
      </c>
      <c r="M481" s="25"/>
      <c r="N481" s="25"/>
      <c r="O481" s="18"/>
      <c r="P481" s="27"/>
      <c r="Q481" s="29"/>
      <c r="R481" s="30"/>
      <c r="U481">
        <v>479</v>
      </c>
      <c r="V481" s="9">
        <v>1</v>
      </c>
      <c r="W481" s="46"/>
    </row>
    <row r="482" spans="2:23" ht="40" customHeight="1">
      <c r="B482" s="14">
        <v>240</v>
      </c>
      <c r="C482" s="40" t="s">
        <v>1410</v>
      </c>
      <c r="D482" s="16"/>
      <c r="E482" s="16"/>
      <c r="F482" s="16"/>
      <c r="G482" s="16"/>
      <c r="H482" s="16"/>
      <c r="I482" s="16"/>
      <c r="J482" s="16"/>
      <c r="K482" s="16"/>
      <c r="L482" s="16"/>
      <c r="M482" s="16"/>
      <c r="N482" s="16"/>
      <c r="O482" s="17"/>
      <c r="P482" s="19" t="str">
        <f t="shared" si="518"/>
        <v>×</v>
      </c>
      <c r="Q482" s="28" t="str">
        <f t="shared" ref="Q482" si="561">IF(O482=R482,$S$3,$T$3)</f>
        <v>×</v>
      </c>
      <c r="R482" s="23" t="s">
        <v>288</v>
      </c>
      <c r="U482">
        <v>480</v>
      </c>
      <c r="V482" s="9">
        <v>2</v>
      </c>
      <c r="W482" s="46">
        <f t="shared" ref="W482" si="562">IF(O482=R482,1,0)</f>
        <v>0</v>
      </c>
    </row>
    <row r="483" spans="2:23" ht="40" customHeight="1">
      <c r="B483" s="15"/>
      <c r="C483" s="25" t="s">
        <v>1102</v>
      </c>
      <c r="D483" s="25"/>
      <c r="E483" s="25"/>
      <c r="F483" s="25" t="s">
        <v>1165</v>
      </c>
      <c r="G483" s="25"/>
      <c r="H483" s="25"/>
      <c r="I483" s="25" t="s">
        <v>1170</v>
      </c>
      <c r="J483" s="25"/>
      <c r="K483" s="25"/>
      <c r="L483" s="25" t="s">
        <v>1105</v>
      </c>
      <c r="M483" s="25"/>
      <c r="N483" s="25"/>
      <c r="O483" s="18"/>
      <c r="P483" s="27"/>
      <c r="Q483" s="29"/>
      <c r="R483" s="30"/>
      <c r="U483">
        <v>481</v>
      </c>
      <c r="V483" s="9">
        <v>1</v>
      </c>
      <c r="W483" s="46"/>
    </row>
    <row r="484" spans="2:23" ht="40" customHeight="1">
      <c r="B484" s="14">
        <v>241</v>
      </c>
      <c r="C484" s="16" t="s">
        <v>1301</v>
      </c>
      <c r="D484" s="16"/>
      <c r="E484" s="16"/>
      <c r="F484" s="16"/>
      <c r="G484" s="16"/>
      <c r="H484" s="16"/>
      <c r="I484" s="16"/>
      <c r="J484" s="16"/>
      <c r="K484" s="16"/>
      <c r="L484" s="16"/>
      <c r="M484" s="16"/>
      <c r="N484" s="16"/>
      <c r="O484" s="17"/>
      <c r="P484" s="19" t="str">
        <f t="shared" si="518"/>
        <v>×</v>
      </c>
      <c r="Q484" s="28" t="str">
        <f t="shared" ref="Q484" si="563">IF(O484=R484,$S$3,$T$3)</f>
        <v>×</v>
      </c>
      <c r="R484" s="23" t="s">
        <v>287</v>
      </c>
      <c r="U484">
        <v>482</v>
      </c>
      <c r="V484" s="9">
        <v>2</v>
      </c>
      <c r="W484" s="46">
        <f t="shared" ref="W484" si="564">IF(O484=R484,1,0)</f>
        <v>0</v>
      </c>
    </row>
    <row r="485" spans="2:23" ht="40" customHeight="1">
      <c r="B485" s="15"/>
      <c r="C485" s="25" t="s">
        <v>374</v>
      </c>
      <c r="D485" s="25"/>
      <c r="E485" s="25"/>
      <c r="F485" s="25" t="s">
        <v>375</v>
      </c>
      <c r="G485" s="25"/>
      <c r="H485" s="25"/>
      <c r="I485" s="25" t="s">
        <v>376</v>
      </c>
      <c r="J485" s="25"/>
      <c r="K485" s="25"/>
      <c r="L485" s="25" t="s">
        <v>375</v>
      </c>
      <c r="M485" s="25"/>
      <c r="N485" s="25"/>
      <c r="O485" s="18"/>
      <c r="P485" s="27"/>
      <c r="Q485" s="29"/>
      <c r="R485" s="30"/>
      <c r="U485">
        <v>483</v>
      </c>
      <c r="V485" s="9">
        <v>1</v>
      </c>
      <c r="W485" s="46"/>
    </row>
    <row r="486" spans="2:23" ht="40" customHeight="1">
      <c r="B486" s="14">
        <v>242</v>
      </c>
      <c r="C486" s="16" t="s">
        <v>1171</v>
      </c>
      <c r="D486" s="16"/>
      <c r="E486" s="16"/>
      <c r="F486" s="16"/>
      <c r="G486" s="16"/>
      <c r="H486" s="16"/>
      <c r="I486" s="16"/>
      <c r="J486" s="16"/>
      <c r="K486" s="16"/>
      <c r="L486" s="16"/>
      <c r="M486" s="16"/>
      <c r="N486" s="16"/>
      <c r="O486" s="17"/>
      <c r="P486" s="19" t="str">
        <f t="shared" si="518"/>
        <v>×</v>
      </c>
      <c r="Q486" s="28" t="str">
        <f t="shared" ref="Q486" si="565">IF(O486=R486,$S$3,$T$3)</f>
        <v>×</v>
      </c>
      <c r="R486" s="23" t="s">
        <v>288</v>
      </c>
      <c r="U486">
        <v>484</v>
      </c>
      <c r="V486" s="9">
        <v>2</v>
      </c>
      <c r="W486" s="46">
        <f t="shared" ref="W486" si="566">IF(O486=R486,1,0)</f>
        <v>0</v>
      </c>
    </row>
    <row r="487" spans="2:23" ht="40" customHeight="1">
      <c r="B487" s="15"/>
      <c r="C487" s="25" t="s">
        <v>1172</v>
      </c>
      <c r="D487" s="25"/>
      <c r="E487" s="25"/>
      <c r="F487" s="25" t="s">
        <v>1173</v>
      </c>
      <c r="G487" s="25"/>
      <c r="H487" s="25"/>
      <c r="I487" s="25" t="s">
        <v>1174</v>
      </c>
      <c r="J487" s="25"/>
      <c r="K487" s="25"/>
      <c r="L487" s="25" t="s">
        <v>1174</v>
      </c>
      <c r="M487" s="25"/>
      <c r="N487" s="25"/>
      <c r="O487" s="18"/>
      <c r="P487" s="27"/>
      <c r="Q487" s="29"/>
      <c r="R487" s="30"/>
      <c r="U487">
        <v>485</v>
      </c>
      <c r="V487" s="9">
        <v>1</v>
      </c>
      <c r="W487" s="46"/>
    </row>
    <row r="488" spans="2:23" ht="40" customHeight="1">
      <c r="B488" s="14">
        <v>243</v>
      </c>
      <c r="C488" s="16" t="s">
        <v>1302</v>
      </c>
      <c r="D488" s="16"/>
      <c r="E488" s="16"/>
      <c r="F488" s="16"/>
      <c r="G488" s="16"/>
      <c r="H488" s="16"/>
      <c r="I488" s="16"/>
      <c r="J488" s="16"/>
      <c r="K488" s="16"/>
      <c r="L488" s="16"/>
      <c r="M488" s="16"/>
      <c r="N488" s="16"/>
      <c r="O488" s="17"/>
      <c r="P488" s="19" t="str">
        <f t="shared" si="518"/>
        <v>×</v>
      </c>
      <c r="Q488" s="28" t="str">
        <f t="shared" ref="Q488" si="567">IF(O488=R488,$S$3,$T$3)</f>
        <v>×</v>
      </c>
      <c r="R488" s="23" t="s">
        <v>287</v>
      </c>
      <c r="U488">
        <v>486</v>
      </c>
      <c r="V488" s="9">
        <v>2</v>
      </c>
      <c r="W488" s="46">
        <f t="shared" ref="W488" si="568">IF(O488=R488,1,0)</f>
        <v>0</v>
      </c>
    </row>
    <row r="489" spans="2:23" ht="40" customHeight="1">
      <c r="B489" s="15"/>
      <c r="C489" s="25" t="s">
        <v>1175</v>
      </c>
      <c r="D489" s="25"/>
      <c r="E489" s="25"/>
      <c r="F489" s="25" t="s">
        <v>1176</v>
      </c>
      <c r="G489" s="25"/>
      <c r="H489" s="25"/>
      <c r="I489" s="25" t="s">
        <v>1177</v>
      </c>
      <c r="J489" s="25"/>
      <c r="K489" s="25"/>
      <c r="L489" s="25" t="s">
        <v>1178</v>
      </c>
      <c r="M489" s="25"/>
      <c r="N489" s="25"/>
      <c r="O489" s="18"/>
      <c r="P489" s="27"/>
      <c r="Q489" s="29"/>
      <c r="R489" s="30"/>
      <c r="U489">
        <v>487</v>
      </c>
      <c r="V489" s="9">
        <v>1</v>
      </c>
      <c r="W489" s="46"/>
    </row>
    <row r="490" spans="2:23" ht="40" customHeight="1">
      <c r="B490" s="14">
        <v>244</v>
      </c>
      <c r="C490" s="47" t="s">
        <v>311</v>
      </c>
      <c r="D490" s="48"/>
      <c r="E490" s="48"/>
      <c r="F490" s="48"/>
      <c r="G490" s="48"/>
      <c r="H490" s="48"/>
      <c r="I490" s="48"/>
      <c r="J490" s="48"/>
      <c r="K490" s="48"/>
      <c r="L490" s="48"/>
      <c r="M490" s="48"/>
      <c r="N490" s="49"/>
      <c r="O490" s="17"/>
      <c r="P490" s="19"/>
      <c r="Q490" s="28"/>
      <c r="R490" s="23"/>
      <c r="U490">
        <v>488</v>
      </c>
      <c r="V490" s="9">
        <v>2</v>
      </c>
      <c r="W490" s="46"/>
    </row>
    <row r="491" spans="2:23" ht="40" customHeight="1">
      <c r="B491" s="15"/>
      <c r="C491" s="50"/>
      <c r="D491" s="51"/>
      <c r="E491" s="51"/>
      <c r="F491" s="51"/>
      <c r="G491" s="51"/>
      <c r="H491" s="51"/>
      <c r="I491" s="51"/>
      <c r="J491" s="51"/>
      <c r="K491" s="51"/>
      <c r="L491" s="51"/>
      <c r="M491" s="51"/>
      <c r="N491" s="52"/>
      <c r="O491" s="18"/>
      <c r="P491" s="27"/>
      <c r="Q491" s="29"/>
      <c r="R491" s="30"/>
      <c r="U491">
        <v>489</v>
      </c>
      <c r="V491" s="9">
        <v>1</v>
      </c>
      <c r="W491" s="46"/>
    </row>
    <row r="492" spans="2:23" ht="40" customHeight="1">
      <c r="B492" s="14">
        <v>245</v>
      </c>
      <c r="C492" s="16" t="s">
        <v>1179</v>
      </c>
      <c r="D492" s="16"/>
      <c r="E492" s="16"/>
      <c r="F492" s="16"/>
      <c r="G492" s="16"/>
      <c r="H492" s="16"/>
      <c r="I492" s="16"/>
      <c r="J492" s="16"/>
      <c r="K492" s="16"/>
      <c r="L492" s="16"/>
      <c r="M492" s="16"/>
      <c r="N492" s="16"/>
      <c r="O492" s="17"/>
      <c r="P492" s="19" t="str">
        <f t="shared" si="518"/>
        <v>×</v>
      </c>
      <c r="Q492" s="28" t="str">
        <f t="shared" ref="Q492" si="569">IF(O492=R492,$S$3,$T$3)</f>
        <v>×</v>
      </c>
      <c r="R492" s="23" t="s">
        <v>288</v>
      </c>
      <c r="U492">
        <v>490</v>
      </c>
      <c r="V492" s="9">
        <v>2</v>
      </c>
      <c r="W492" s="46">
        <f t="shared" ref="W492" si="570">IF(O492=R492,1,0)</f>
        <v>0</v>
      </c>
    </row>
    <row r="493" spans="2:23" ht="40" customHeight="1">
      <c r="B493" s="15"/>
      <c r="C493" s="25" t="s">
        <v>884</v>
      </c>
      <c r="D493" s="25"/>
      <c r="E493" s="25"/>
      <c r="F493" s="25" t="s">
        <v>1180</v>
      </c>
      <c r="G493" s="25"/>
      <c r="H493" s="25"/>
      <c r="I493" s="25" t="s">
        <v>885</v>
      </c>
      <c r="J493" s="25"/>
      <c r="K493" s="25"/>
      <c r="L493" s="25" t="s">
        <v>1181</v>
      </c>
      <c r="M493" s="25"/>
      <c r="N493" s="25"/>
      <c r="O493" s="18"/>
      <c r="P493" s="27"/>
      <c r="Q493" s="29"/>
      <c r="R493" s="30"/>
      <c r="U493">
        <v>491</v>
      </c>
      <c r="V493" s="9">
        <v>1</v>
      </c>
      <c r="W493" s="46"/>
    </row>
    <row r="494" spans="2:23" ht="40" customHeight="1">
      <c r="B494" s="14">
        <v>246</v>
      </c>
      <c r="C494" s="47" t="s">
        <v>300</v>
      </c>
      <c r="D494" s="48"/>
      <c r="E494" s="48"/>
      <c r="F494" s="48"/>
      <c r="G494" s="48"/>
      <c r="H494" s="48"/>
      <c r="I494" s="48"/>
      <c r="J494" s="48"/>
      <c r="K494" s="48"/>
      <c r="L494" s="48"/>
      <c r="M494" s="48"/>
      <c r="N494" s="49"/>
      <c r="O494" s="17"/>
      <c r="P494" s="19"/>
      <c r="Q494" s="28"/>
      <c r="R494" s="23"/>
      <c r="U494">
        <v>492</v>
      </c>
      <c r="V494" s="9">
        <v>2</v>
      </c>
      <c r="W494" s="46"/>
    </row>
    <row r="495" spans="2:23" ht="40" customHeight="1">
      <c r="B495" s="15"/>
      <c r="C495" s="50"/>
      <c r="D495" s="51"/>
      <c r="E495" s="51"/>
      <c r="F495" s="51"/>
      <c r="G495" s="51"/>
      <c r="H495" s="51"/>
      <c r="I495" s="51"/>
      <c r="J495" s="51"/>
      <c r="K495" s="51"/>
      <c r="L495" s="51"/>
      <c r="M495" s="51"/>
      <c r="N495" s="52"/>
      <c r="O495" s="18"/>
      <c r="P495" s="27"/>
      <c r="Q495" s="29"/>
      <c r="R495" s="30"/>
      <c r="U495">
        <v>493</v>
      </c>
      <c r="V495" s="9">
        <v>1</v>
      </c>
      <c r="W495" s="46"/>
    </row>
    <row r="496" spans="2:23" ht="40" customHeight="1">
      <c r="B496" s="14">
        <v>247</v>
      </c>
      <c r="C496" s="47" t="s">
        <v>301</v>
      </c>
      <c r="D496" s="48"/>
      <c r="E496" s="48"/>
      <c r="F496" s="48"/>
      <c r="G496" s="48"/>
      <c r="H496" s="48"/>
      <c r="I496" s="48"/>
      <c r="J496" s="48"/>
      <c r="K496" s="48"/>
      <c r="L496" s="48"/>
      <c r="M496" s="48"/>
      <c r="N496" s="49"/>
      <c r="O496" s="17"/>
      <c r="P496" s="19"/>
      <c r="Q496" s="28"/>
      <c r="R496" s="23"/>
      <c r="U496">
        <v>494</v>
      </c>
      <c r="V496" s="9">
        <v>2</v>
      </c>
      <c r="W496" s="46"/>
    </row>
    <row r="497" spans="2:23" ht="40" customHeight="1">
      <c r="B497" s="15"/>
      <c r="C497" s="50"/>
      <c r="D497" s="51"/>
      <c r="E497" s="51"/>
      <c r="F497" s="51"/>
      <c r="G497" s="51"/>
      <c r="H497" s="51"/>
      <c r="I497" s="51"/>
      <c r="J497" s="51"/>
      <c r="K497" s="51"/>
      <c r="L497" s="51"/>
      <c r="M497" s="51"/>
      <c r="N497" s="52"/>
      <c r="O497" s="18"/>
      <c r="P497" s="27"/>
      <c r="Q497" s="29"/>
      <c r="R497" s="30"/>
      <c r="U497">
        <v>495</v>
      </c>
      <c r="V497" s="9">
        <v>1</v>
      </c>
      <c r="W497" s="46"/>
    </row>
    <row r="498" spans="2:23" ht="40" customHeight="1">
      <c r="B498" s="14">
        <v>248</v>
      </c>
      <c r="C498" s="47" t="s">
        <v>302</v>
      </c>
      <c r="D498" s="48"/>
      <c r="E498" s="48"/>
      <c r="F498" s="48"/>
      <c r="G498" s="48"/>
      <c r="H498" s="48"/>
      <c r="I498" s="48"/>
      <c r="J498" s="48"/>
      <c r="K498" s="48"/>
      <c r="L498" s="48"/>
      <c r="M498" s="48"/>
      <c r="N498" s="49"/>
      <c r="O498" s="17"/>
      <c r="P498" s="19"/>
      <c r="Q498" s="28"/>
      <c r="R498" s="23"/>
      <c r="U498">
        <v>496</v>
      </c>
      <c r="V498" s="9">
        <v>2</v>
      </c>
      <c r="W498" s="46"/>
    </row>
    <row r="499" spans="2:23" ht="40" customHeight="1">
      <c r="B499" s="15"/>
      <c r="C499" s="50"/>
      <c r="D499" s="51"/>
      <c r="E499" s="51"/>
      <c r="F499" s="51"/>
      <c r="G499" s="51"/>
      <c r="H499" s="51"/>
      <c r="I499" s="51"/>
      <c r="J499" s="51"/>
      <c r="K499" s="51"/>
      <c r="L499" s="51"/>
      <c r="M499" s="51"/>
      <c r="N499" s="52"/>
      <c r="O499" s="18"/>
      <c r="P499" s="27"/>
      <c r="Q499" s="29"/>
      <c r="R499" s="30"/>
      <c r="U499">
        <v>497</v>
      </c>
      <c r="V499" s="9">
        <v>1</v>
      </c>
      <c r="W499" s="46"/>
    </row>
    <row r="500" spans="2:23" ht="40" customHeight="1">
      <c r="B500" s="14">
        <v>249</v>
      </c>
      <c r="C500" s="47" t="s">
        <v>303</v>
      </c>
      <c r="D500" s="48"/>
      <c r="E500" s="48"/>
      <c r="F500" s="48"/>
      <c r="G500" s="48"/>
      <c r="H500" s="48"/>
      <c r="I500" s="48"/>
      <c r="J500" s="48"/>
      <c r="K500" s="48"/>
      <c r="L500" s="48"/>
      <c r="M500" s="48"/>
      <c r="N500" s="49"/>
      <c r="O500" s="17"/>
      <c r="P500" s="19"/>
      <c r="Q500" s="28"/>
      <c r="R500" s="23"/>
      <c r="U500">
        <v>498</v>
      </c>
      <c r="V500" s="9">
        <v>2</v>
      </c>
      <c r="W500" s="46"/>
    </row>
    <row r="501" spans="2:23" ht="40" customHeight="1">
      <c r="B501" s="15"/>
      <c r="C501" s="50"/>
      <c r="D501" s="51"/>
      <c r="E501" s="51"/>
      <c r="F501" s="51"/>
      <c r="G501" s="51"/>
      <c r="H501" s="51"/>
      <c r="I501" s="51"/>
      <c r="J501" s="51"/>
      <c r="K501" s="51"/>
      <c r="L501" s="51"/>
      <c r="M501" s="51"/>
      <c r="N501" s="52"/>
      <c r="O501" s="18"/>
      <c r="P501" s="27"/>
      <c r="Q501" s="29"/>
      <c r="R501" s="30"/>
      <c r="U501">
        <v>499</v>
      </c>
      <c r="V501" s="9">
        <v>1</v>
      </c>
      <c r="W501" s="46"/>
    </row>
    <row r="502" spans="2:23" ht="40" customHeight="1">
      <c r="B502" s="14">
        <v>250</v>
      </c>
      <c r="C502" s="47" t="s">
        <v>304</v>
      </c>
      <c r="D502" s="48"/>
      <c r="E502" s="48"/>
      <c r="F502" s="48"/>
      <c r="G502" s="48"/>
      <c r="H502" s="48"/>
      <c r="I502" s="48"/>
      <c r="J502" s="48"/>
      <c r="K502" s="48"/>
      <c r="L502" s="48"/>
      <c r="M502" s="48"/>
      <c r="N502" s="49"/>
      <c r="O502" s="17"/>
      <c r="P502" s="19"/>
      <c r="Q502" s="28"/>
      <c r="R502" s="23"/>
      <c r="U502">
        <v>500</v>
      </c>
      <c r="V502" s="9">
        <v>2</v>
      </c>
      <c r="W502" s="46"/>
    </row>
    <row r="503" spans="2:23" ht="40" customHeight="1">
      <c r="B503" s="15"/>
      <c r="C503" s="50"/>
      <c r="D503" s="51"/>
      <c r="E503" s="51"/>
      <c r="F503" s="51"/>
      <c r="G503" s="51"/>
      <c r="H503" s="51"/>
      <c r="I503" s="51"/>
      <c r="J503" s="51"/>
      <c r="K503" s="51"/>
      <c r="L503" s="51"/>
      <c r="M503" s="51"/>
      <c r="N503" s="52"/>
      <c r="O503" s="18"/>
      <c r="P503" s="27"/>
      <c r="Q503" s="29"/>
      <c r="R503" s="30"/>
      <c r="U503">
        <v>501</v>
      </c>
      <c r="V503" s="9">
        <v>1</v>
      </c>
      <c r="W503" s="46"/>
    </row>
    <row r="504" spans="2:23" ht="40" customHeight="1">
      <c r="B504" s="14">
        <v>251</v>
      </c>
      <c r="C504" s="47" t="s">
        <v>305</v>
      </c>
      <c r="D504" s="48"/>
      <c r="E504" s="48"/>
      <c r="F504" s="48"/>
      <c r="G504" s="48"/>
      <c r="H504" s="48"/>
      <c r="I504" s="48"/>
      <c r="J504" s="48"/>
      <c r="K504" s="48"/>
      <c r="L504" s="48"/>
      <c r="M504" s="48"/>
      <c r="N504" s="49"/>
      <c r="O504" s="17"/>
      <c r="P504" s="19"/>
      <c r="Q504" s="28"/>
      <c r="R504" s="23"/>
      <c r="U504">
        <v>502</v>
      </c>
      <c r="V504" s="9">
        <v>2</v>
      </c>
      <c r="W504" s="46"/>
    </row>
    <row r="505" spans="2:23" ht="40" customHeight="1">
      <c r="B505" s="15"/>
      <c r="C505" s="50"/>
      <c r="D505" s="51"/>
      <c r="E505" s="51"/>
      <c r="F505" s="51"/>
      <c r="G505" s="51"/>
      <c r="H505" s="51"/>
      <c r="I505" s="51"/>
      <c r="J505" s="51"/>
      <c r="K505" s="51"/>
      <c r="L505" s="51"/>
      <c r="M505" s="51"/>
      <c r="N505" s="52"/>
      <c r="O505" s="18"/>
      <c r="P505" s="27"/>
      <c r="Q505" s="29"/>
      <c r="R505" s="30"/>
      <c r="U505">
        <v>503</v>
      </c>
      <c r="V505" s="9">
        <v>1</v>
      </c>
      <c r="W505" s="46"/>
    </row>
    <row r="506" spans="2:23" ht="40" customHeight="1">
      <c r="B506" s="14">
        <v>252</v>
      </c>
      <c r="C506" s="47" t="s">
        <v>306</v>
      </c>
      <c r="D506" s="48"/>
      <c r="E506" s="48"/>
      <c r="F506" s="48"/>
      <c r="G506" s="48"/>
      <c r="H506" s="48"/>
      <c r="I506" s="48"/>
      <c r="J506" s="48"/>
      <c r="K506" s="48"/>
      <c r="L506" s="48"/>
      <c r="M506" s="48"/>
      <c r="N506" s="49"/>
      <c r="O506" s="17"/>
      <c r="P506" s="19"/>
      <c r="Q506" s="28"/>
      <c r="R506" s="23"/>
      <c r="U506">
        <v>504</v>
      </c>
      <c r="V506" s="9">
        <v>2</v>
      </c>
      <c r="W506" s="46"/>
    </row>
    <row r="507" spans="2:23" ht="40" customHeight="1">
      <c r="B507" s="15"/>
      <c r="C507" s="50"/>
      <c r="D507" s="51"/>
      <c r="E507" s="51"/>
      <c r="F507" s="51"/>
      <c r="G507" s="51"/>
      <c r="H507" s="51"/>
      <c r="I507" s="51"/>
      <c r="J507" s="51"/>
      <c r="K507" s="51"/>
      <c r="L507" s="51"/>
      <c r="M507" s="51"/>
      <c r="N507" s="52"/>
      <c r="O507" s="18"/>
      <c r="P507" s="27"/>
      <c r="Q507" s="29"/>
      <c r="R507" s="30"/>
      <c r="U507">
        <v>505</v>
      </c>
      <c r="V507" s="9">
        <v>1</v>
      </c>
      <c r="W507" s="46"/>
    </row>
    <row r="508" spans="2:23" ht="40" customHeight="1">
      <c r="B508" s="14">
        <v>253</v>
      </c>
      <c r="C508" s="47" t="s">
        <v>307</v>
      </c>
      <c r="D508" s="48"/>
      <c r="E508" s="48"/>
      <c r="F508" s="48"/>
      <c r="G508" s="48"/>
      <c r="H508" s="48"/>
      <c r="I508" s="48"/>
      <c r="J508" s="48"/>
      <c r="K508" s="48"/>
      <c r="L508" s="48"/>
      <c r="M508" s="48"/>
      <c r="N508" s="49"/>
      <c r="O508" s="17"/>
      <c r="P508" s="19"/>
      <c r="Q508" s="28"/>
      <c r="R508" s="23"/>
      <c r="U508">
        <v>506</v>
      </c>
      <c r="V508" s="9">
        <v>2</v>
      </c>
      <c r="W508" s="46"/>
    </row>
    <row r="509" spans="2:23" ht="40" customHeight="1">
      <c r="B509" s="15"/>
      <c r="C509" s="50"/>
      <c r="D509" s="51"/>
      <c r="E509" s="51"/>
      <c r="F509" s="51"/>
      <c r="G509" s="51"/>
      <c r="H509" s="51"/>
      <c r="I509" s="51"/>
      <c r="J509" s="51"/>
      <c r="K509" s="51"/>
      <c r="L509" s="51"/>
      <c r="M509" s="51"/>
      <c r="N509" s="52"/>
      <c r="O509" s="18"/>
      <c r="P509" s="27"/>
      <c r="Q509" s="29"/>
      <c r="R509" s="30"/>
      <c r="U509">
        <v>507</v>
      </c>
      <c r="V509" s="9">
        <v>1</v>
      </c>
      <c r="W509" s="46"/>
    </row>
    <row r="510" spans="2:23" ht="40" customHeight="1">
      <c r="B510" s="14">
        <v>254</v>
      </c>
      <c r="C510" s="47" t="s">
        <v>308</v>
      </c>
      <c r="D510" s="48"/>
      <c r="E510" s="48"/>
      <c r="F510" s="48"/>
      <c r="G510" s="48"/>
      <c r="H510" s="48"/>
      <c r="I510" s="48"/>
      <c r="J510" s="48"/>
      <c r="K510" s="48"/>
      <c r="L510" s="48"/>
      <c r="M510" s="48"/>
      <c r="N510" s="49"/>
      <c r="O510" s="17"/>
      <c r="P510" s="19"/>
      <c r="Q510" s="28"/>
      <c r="R510" s="23"/>
      <c r="U510">
        <v>508</v>
      </c>
      <c r="V510" s="9">
        <v>2</v>
      </c>
      <c r="W510" s="46"/>
    </row>
    <row r="511" spans="2:23" ht="40" customHeight="1">
      <c r="B511" s="15"/>
      <c r="C511" s="50"/>
      <c r="D511" s="51"/>
      <c r="E511" s="51"/>
      <c r="F511" s="51"/>
      <c r="G511" s="51"/>
      <c r="H511" s="51"/>
      <c r="I511" s="51"/>
      <c r="J511" s="51"/>
      <c r="K511" s="51"/>
      <c r="L511" s="51"/>
      <c r="M511" s="51"/>
      <c r="N511" s="52"/>
      <c r="O511" s="18"/>
      <c r="P511" s="27"/>
      <c r="Q511" s="29"/>
      <c r="R511" s="30"/>
      <c r="U511">
        <v>509</v>
      </c>
      <c r="V511" s="9">
        <v>1</v>
      </c>
      <c r="W511" s="46"/>
    </row>
    <row r="512" spans="2:23" ht="40" customHeight="1">
      <c r="B512" s="14">
        <v>255</v>
      </c>
      <c r="C512" s="47" t="s">
        <v>309</v>
      </c>
      <c r="D512" s="48"/>
      <c r="E512" s="48"/>
      <c r="F512" s="48"/>
      <c r="G512" s="48"/>
      <c r="H512" s="48"/>
      <c r="I512" s="48"/>
      <c r="J512" s="48"/>
      <c r="K512" s="48"/>
      <c r="L512" s="48"/>
      <c r="M512" s="48"/>
      <c r="N512" s="49"/>
      <c r="O512" s="17"/>
      <c r="P512" s="19"/>
      <c r="Q512" s="28"/>
      <c r="R512" s="23"/>
      <c r="U512">
        <v>510</v>
      </c>
      <c r="V512" s="9">
        <v>2</v>
      </c>
      <c r="W512" s="46"/>
    </row>
    <row r="513" spans="2:23" ht="40" customHeight="1">
      <c r="B513" s="15"/>
      <c r="C513" s="50"/>
      <c r="D513" s="51"/>
      <c r="E513" s="51"/>
      <c r="F513" s="51"/>
      <c r="G513" s="51"/>
      <c r="H513" s="51"/>
      <c r="I513" s="51"/>
      <c r="J513" s="51"/>
      <c r="K513" s="51"/>
      <c r="L513" s="51"/>
      <c r="M513" s="51"/>
      <c r="N513" s="52"/>
      <c r="O513" s="18"/>
      <c r="P513" s="27"/>
      <c r="Q513" s="29"/>
      <c r="R513" s="30"/>
      <c r="U513">
        <v>511</v>
      </c>
      <c r="V513" s="9">
        <v>1</v>
      </c>
      <c r="W513" s="46"/>
    </row>
    <row r="514" spans="2:23" ht="40" customHeight="1">
      <c r="B514" s="14">
        <v>256</v>
      </c>
      <c r="C514" s="47" t="s">
        <v>310</v>
      </c>
      <c r="D514" s="48"/>
      <c r="E514" s="48"/>
      <c r="F514" s="48"/>
      <c r="G514" s="48"/>
      <c r="H514" s="48"/>
      <c r="I514" s="48"/>
      <c r="J514" s="48"/>
      <c r="K514" s="48"/>
      <c r="L514" s="48"/>
      <c r="M514" s="48"/>
      <c r="N514" s="49"/>
      <c r="O514" s="17"/>
      <c r="P514" s="19"/>
      <c r="Q514" s="28"/>
      <c r="R514" s="23"/>
      <c r="U514">
        <v>512</v>
      </c>
      <c r="V514" s="9">
        <v>2</v>
      </c>
      <c r="W514" s="46"/>
    </row>
    <row r="515" spans="2:23" ht="40" customHeight="1">
      <c r="B515" s="15"/>
      <c r="C515" s="50"/>
      <c r="D515" s="51"/>
      <c r="E515" s="51"/>
      <c r="F515" s="51"/>
      <c r="G515" s="51"/>
      <c r="H515" s="51"/>
      <c r="I515" s="51"/>
      <c r="J515" s="51"/>
      <c r="K515" s="51"/>
      <c r="L515" s="51"/>
      <c r="M515" s="51"/>
      <c r="N515" s="52"/>
      <c r="O515" s="18"/>
      <c r="P515" s="27"/>
      <c r="Q515" s="29"/>
      <c r="R515" s="30"/>
      <c r="U515">
        <v>513</v>
      </c>
      <c r="V515" s="9">
        <v>1</v>
      </c>
      <c r="W515" s="46"/>
    </row>
    <row r="516" spans="2:23" ht="40" customHeight="1">
      <c r="B516" s="14">
        <v>257</v>
      </c>
      <c r="C516" s="16" t="s">
        <v>1182</v>
      </c>
      <c r="D516" s="16"/>
      <c r="E516" s="16"/>
      <c r="F516" s="16"/>
      <c r="G516" s="16"/>
      <c r="H516" s="16"/>
      <c r="I516" s="16"/>
      <c r="J516" s="16"/>
      <c r="K516" s="16"/>
      <c r="L516" s="16"/>
      <c r="M516" s="16"/>
      <c r="N516" s="16"/>
      <c r="O516" s="17"/>
      <c r="P516" s="19" t="str">
        <f t="shared" ref="P516:P566" si="571">Q516</f>
        <v>×</v>
      </c>
      <c r="Q516" s="28" t="str">
        <f t="shared" ref="Q516" si="572">IF(O516=R516,$S$3,$T$3)</f>
        <v>×</v>
      </c>
      <c r="R516" s="23" t="s">
        <v>289</v>
      </c>
      <c r="U516">
        <v>514</v>
      </c>
      <c r="V516" s="9">
        <v>2</v>
      </c>
      <c r="W516" s="46">
        <f t="shared" ref="W516" si="573">IF(O516=R516,1,0)</f>
        <v>0</v>
      </c>
    </row>
    <row r="517" spans="2:23" ht="40" customHeight="1">
      <c r="B517" s="15"/>
      <c r="C517" s="25" t="s">
        <v>934</v>
      </c>
      <c r="D517" s="25"/>
      <c r="E517" s="25"/>
      <c r="F517" s="25" t="s">
        <v>935</v>
      </c>
      <c r="G517" s="25"/>
      <c r="H517" s="25"/>
      <c r="I517" s="25" t="s">
        <v>1183</v>
      </c>
      <c r="J517" s="25"/>
      <c r="K517" s="25"/>
      <c r="L517" s="25" t="s">
        <v>1184</v>
      </c>
      <c r="M517" s="25"/>
      <c r="N517" s="25"/>
      <c r="O517" s="18"/>
      <c r="P517" s="27"/>
      <c r="Q517" s="29"/>
      <c r="R517" s="30"/>
      <c r="U517">
        <v>515</v>
      </c>
      <c r="V517" s="9">
        <v>1</v>
      </c>
      <c r="W517" s="46"/>
    </row>
    <row r="518" spans="2:23" ht="40" customHeight="1">
      <c r="B518" s="14">
        <v>258</v>
      </c>
      <c r="C518" s="16" t="s">
        <v>1185</v>
      </c>
      <c r="D518" s="16"/>
      <c r="E518" s="16"/>
      <c r="F518" s="16"/>
      <c r="G518" s="16"/>
      <c r="H518" s="16"/>
      <c r="I518" s="16"/>
      <c r="J518" s="16"/>
      <c r="K518" s="16"/>
      <c r="L518" s="16"/>
      <c r="M518" s="16"/>
      <c r="N518" s="16"/>
      <c r="O518" s="17"/>
      <c r="P518" s="19" t="str">
        <f t="shared" si="571"/>
        <v>×</v>
      </c>
      <c r="Q518" s="28" t="str">
        <f t="shared" ref="Q518" si="574">IF(O518=R518,$S$3,$T$3)</f>
        <v>×</v>
      </c>
      <c r="R518" s="23" t="s">
        <v>290</v>
      </c>
      <c r="U518">
        <v>516</v>
      </c>
      <c r="V518" s="9">
        <v>2</v>
      </c>
      <c r="W518" s="46">
        <f t="shared" ref="W518" si="575">IF(O518=R518,1,0)</f>
        <v>0</v>
      </c>
    </row>
    <row r="519" spans="2:23" ht="40" customHeight="1">
      <c r="B519" s="15"/>
      <c r="C519" s="25" t="s">
        <v>939</v>
      </c>
      <c r="D519" s="25"/>
      <c r="E519" s="25"/>
      <c r="F519" s="25" t="s">
        <v>1186</v>
      </c>
      <c r="G519" s="25"/>
      <c r="H519" s="25"/>
      <c r="I519" s="25" t="s">
        <v>1187</v>
      </c>
      <c r="J519" s="25"/>
      <c r="K519" s="25"/>
      <c r="L519" s="25" t="s">
        <v>941</v>
      </c>
      <c r="M519" s="25"/>
      <c r="N519" s="25"/>
      <c r="O519" s="18"/>
      <c r="P519" s="27"/>
      <c r="Q519" s="29"/>
      <c r="R519" s="30"/>
      <c r="U519">
        <v>517</v>
      </c>
      <c r="V519" s="9">
        <v>1</v>
      </c>
      <c r="W519" s="46"/>
    </row>
    <row r="520" spans="2:23" ht="40" customHeight="1">
      <c r="B520" s="14">
        <v>259</v>
      </c>
      <c r="C520" s="16" t="s">
        <v>1188</v>
      </c>
      <c r="D520" s="16"/>
      <c r="E520" s="16"/>
      <c r="F520" s="16"/>
      <c r="G520" s="16"/>
      <c r="H520" s="16"/>
      <c r="I520" s="16"/>
      <c r="J520" s="16"/>
      <c r="K520" s="16"/>
      <c r="L520" s="16"/>
      <c r="M520" s="16"/>
      <c r="N520" s="16"/>
      <c r="O520" s="17"/>
      <c r="P520" s="19" t="str">
        <f t="shared" si="571"/>
        <v>×</v>
      </c>
      <c r="Q520" s="28" t="str">
        <f t="shared" ref="Q520" si="576">IF(O520=R520,$S$3,$T$3)</f>
        <v>×</v>
      </c>
      <c r="R520" s="23" t="s">
        <v>290</v>
      </c>
      <c r="U520">
        <v>518</v>
      </c>
      <c r="V520" s="9">
        <v>2</v>
      </c>
      <c r="W520" s="46">
        <f t="shared" ref="W520" si="577">IF(O520=R520,1,0)</f>
        <v>0</v>
      </c>
    </row>
    <row r="521" spans="2:23" ht="40" customHeight="1">
      <c r="B521" s="15"/>
      <c r="C521" s="25" t="s">
        <v>1189</v>
      </c>
      <c r="D521" s="25"/>
      <c r="E521" s="25"/>
      <c r="F521" s="25" t="s">
        <v>1190</v>
      </c>
      <c r="G521" s="25"/>
      <c r="H521" s="25"/>
      <c r="I521" s="25" t="s">
        <v>945</v>
      </c>
      <c r="J521" s="25"/>
      <c r="K521" s="25"/>
      <c r="L521" s="25" t="s">
        <v>946</v>
      </c>
      <c r="M521" s="25"/>
      <c r="N521" s="25"/>
      <c r="O521" s="18"/>
      <c r="P521" s="27"/>
      <c r="Q521" s="29"/>
      <c r="R521" s="30"/>
      <c r="U521">
        <v>519</v>
      </c>
      <c r="V521" s="9">
        <v>1</v>
      </c>
      <c r="W521" s="46"/>
    </row>
    <row r="522" spans="2:23" ht="40" customHeight="1">
      <c r="B522" s="14">
        <v>260</v>
      </c>
      <c r="C522" s="16" t="s">
        <v>1191</v>
      </c>
      <c r="D522" s="16"/>
      <c r="E522" s="16"/>
      <c r="F522" s="16"/>
      <c r="G522" s="16"/>
      <c r="H522" s="16"/>
      <c r="I522" s="16"/>
      <c r="J522" s="16"/>
      <c r="K522" s="16"/>
      <c r="L522" s="16"/>
      <c r="M522" s="16"/>
      <c r="N522" s="16"/>
      <c r="O522" s="17"/>
      <c r="P522" s="19" t="str">
        <f t="shared" si="571"/>
        <v>×</v>
      </c>
      <c r="Q522" s="28" t="str">
        <f t="shared" ref="Q522" si="578">IF(O522=R522,$S$3,$T$3)</f>
        <v>×</v>
      </c>
      <c r="R522" s="23" t="s">
        <v>289</v>
      </c>
      <c r="U522">
        <v>520</v>
      </c>
      <c r="V522" s="9">
        <v>2</v>
      </c>
      <c r="W522" s="46">
        <f t="shared" ref="W522" si="579">IF(O522=R522,1,0)</f>
        <v>0</v>
      </c>
    </row>
    <row r="523" spans="2:23" ht="40" customHeight="1">
      <c r="B523" s="15"/>
      <c r="C523" s="25" t="s">
        <v>947</v>
      </c>
      <c r="D523" s="25"/>
      <c r="E523" s="25"/>
      <c r="F523" s="25" t="s">
        <v>1192</v>
      </c>
      <c r="G523" s="25"/>
      <c r="H523" s="25"/>
      <c r="I523" s="25" t="s">
        <v>1193</v>
      </c>
      <c r="J523" s="25"/>
      <c r="K523" s="25"/>
      <c r="L523" s="25" t="s">
        <v>950</v>
      </c>
      <c r="M523" s="25"/>
      <c r="N523" s="25"/>
      <c r="O523" s="18"/>
      <c r="P523" s="27"/>
      <c r="Q523" s="29"/>
      <c r="R523" s="30"/>
      <c r="U523">
        <v>521</v>
      </c>
      <c r="V523" s="9">
        <v>1</v>
      </c>
      <c r="W523" s="46"/>
    </row>
    <row r="524" spans="2:23" ht="40" customHeight="1">
      <c r="B524" s="14">
        <v>261</v>
      </c>
      <c r="C524" s="16" t="s">
        <v>1194</v>
      </c>
      <c r="D524" s="16"/>
      <c r="E524" s="16"/>
      <c r="F524" s="16"/>
      <c r="G524" s="16"/>
      <c r="H524" s="16"/>
      <c r="I524" s="16"/>
      <c r="J524" s="16"/>
      <c r="K524" s="16"/>
      <c r="L524" s="16"/>
      <c r="M524" s="16"/>
      <c r="N524" s="16"/>
      <c r="O524" s="17"/>
      <c r="P524" s="19" t="str">
        <f t="shared" si="571"/>
        <v>×</v>
      </c>
      <c r="Q524" s="28" t="str">
        <f t="shared" ref="Q524" si="580">IF(O524=R524,$S$3,$T$3)</f>
        <v>×</v>
      </c>
      <c r="R524" s="23" t="s">
        <v>288</v>
      </c>
      <c r="U524">
        <v>522</v>
      </c>
      <c r="V524" s="9">
        <v>2</v>
      </c>
      <c r="W524" s="46">
        <f t="shared" ref="W524" si="581">IF(O524=R524,1,0)</f>
        <v>0</v>
      </c>
    </row>
    <row r="525" spans="2:23" ht="40" customHeight="1">
      <c r="B525" s="15"/>
      <c r="C525" s="25" t="s">
        <v>997</v>
      </c>
      <c r="D525" s="25"/>
      <c r="E525" s="25"/>
      <c r="F525" s="25" t="s">
        <v>998</v>
      </c>
      <c r="G525" s="25"/>
      <c r="H525" s="25"/>
      <c r="I525" s="25" t="s">
        <v>1405</v>
      </c>
      <c r="J525" s="25"/>
      <c r="K525" s="25"/>
      <c r="L525" s="25" t="s">
        <v>1195</v>
      </c>
      <c r="M525" s="25"/>
      <c r="N525" s="25"/>
      <c r="O525" s="18"/>
      <c r="P525" s="27"/>
      <c r="Q525" s="29"/>
      <c r="R525" s="30"/>
      <c r="U525">
        <v>523</v>
      </c>
      <c r="V525" s="9">
        <v>1</v>
      </c>
      <c r="W525" s="46"/>
    </row>
    <row r="526" spans="2:23" ht="40" customHeight="1">
      <c r="B526" s="14">
        <v>262</v>
      </c>
      <c r="C526" s="16" t="s">
        <v>1196</v>
      </c>
      <c r="D526" s="16"/>
      <c r="E526" s="16"/>
      <c r="F526" s="16"/>
      <c r="G526" s="16"/>
      <c r="H526" s="16"/>
      <c r="I526" s="16"/>
      <c r="J526" s="16"/>
      <c r="K526" s="16"/>
      <c r="L526" s="16"/>
      <c r="M526" s="16"/>
      <c r="N526" s="16"/>
      <c r="O526" s="17"/>
      <c r="P526" s="19" t="str">
        <f t="shared" si="571"/>
        <v>×</v>
      </c>
      <c r="Q526" s="28" t="str">
        <f t="shared" ref="Q526" si="582">IF(O526=R526,$S$3,$T$3)</f>
        <v>×</v>
      </c>
      <c r="R526" s="23" t="s">
        <v>288</v>
      </c>
      <c r="U526">
        <v>524</v>
      </c>
      <c r="V526" s="9">
        <v>2</v>
      </c>
      <c r="W526" s="46">
        <f t="shared" ref="W526" si="583">IF(O526=R526,1,0)</f>
        <v>0</v>
      </c>
    </row>
    <row r="527" spans="2:23" ht="40" customHeight="1">
      <c r="B527" s="15"/>
      <c r="C527" s="25" t="s">
        <v>1002</v>
      </c>
      <c r="D527" s="25"/>
      <c r="E527" s="25"/>
      <c r="F527" s="25" t="s">
        <v>1003</v>
      </c>
      <c r="G527" s="25"/>
      <c r="H527" s="25"/>
      <c r="I527" s="25" t="s">
        <v>1004</v>
      </c>
      <c r="J527" s="25"/>
      <c r="K527" s="25"/>
      <c r="L527" s="25" t="s">
        <v>1005</v>
      </c>
      <c r="M527" s="25"/>
      <c r="N527" s="25"/>
      <c r="O527" s="18"/>
      <c r="P527" s="27"/>
      <c r="Q527" s="29"/>
      <c r="R527" s="30"/>
      <c r="U527">
        <v>525</v>
      </c>
      <c r="V527" s="9">
        <v>1</v>
      </c>
      <c r="W527" s="46"/>
    </row>
    <row r="528" spans="2:23" ht="40" customHeight="1">
      <c r="B528" s="14">
        <v>263</v>
      </c>
      <c r="C528" s="16" t="s">
        <v>1197</v>
      </c>
      <c r="D528" s="16"/>
      <c r="E528" s="16"/>
      <c r="F528" s="16"/>
      <c r="G528" s="16"/>
      <c r="H528" s="16"/>
      <c r="I528" s="16"/>
      <c r="J528" s="16"/>
      <c r="K528" s="16"/>
      <c r="L528" s="16"/>
      <c r="M528" s="16"/>
      <c r="N528" s="16"/>
      <c r="O528" s="17"/>
      <c r="P528" s="19" t="str">
        <f t="shared" si="571"/>
        <v>×</v>
      </c>
      <c r="Q528" s="28" t="str">
        <f t="shared" ref="Q528" si="584">IF(O528=R528,$S$3,$T$3)</f>
        <v>×</v>
      </c>
      <c r="R528" s="23" t="s">
        <v>288</v>
      </c>
      <c r="U528">
        <v>526</v>
      </c>
      <c r="V528" s="9">
        <v>2</v>
      </c>
      <c r="W528" s="46">
        <f t="shared" ref="W528" si="585">IF(O528=R528,1,0)</f>
        <v>0</v>
      </c>
    </row>
    <row r="529" spans="2:23" ht="40" customHeight="1">
      <c r="B529" s="15"/>
      <c r="C529" s="25" t="s">
        <v>1007</v>
      </c>
      <c r="D529" s="25"/>
      <c r="E529" s="25"/>
      <c r="F529" s="25" t="s">
        <v>1198</v>
      </c>
      <c r="G529" s="25"/>
      <c r="H529" s="25"/>
      <c r="I529" s="25" t="s">
        <v>1008</v>
      </c>
      <c r="J529" s="25"/>
      <c r="K529" s="25"/>
      <c r="L529" s="25" t="s">
        <v>1199</v>
      </c>
      <c r="M529" s="25"/>
      <c r="N529" s="25"/>
      <c r="O529" s="18"/>
      <c r="P529" s="27"/>
      <c r="Q529" s="29"/>
      <c r="R529" s="30"/>
      <c r="U529">
        <v>527</v>
      </c>
      <c r="V529" s="9">
        <v>1</v>
      </c>
      <c r="W529" s="46"/>
    </row>
    <row r="530" spans="2:23" ht="40" customHeight="1">
      <c r="B530" s="14">
        <v>264</v>
      </c>
      <c r="C530" s="16" t="s">
        <v>1200</v>
      </c>
      <c r="D530" s="16"/>
      <c r="E530" s="16"/>
      <c r="F530" s="16"/>
      <c r="G530" s="16"/>
      <c r="H530" s="16"/>
      <c r="I530" s="16"/>
      <c r="J530" s="16"/>
      <c r="K530" s="16"/>
      <c r="L530" s="16"/>
      <c r="M530" s="16"/>
      <c r="N530" s="16"/>
      <c r="O530" s="17"/>
      <c r="P530" s="19" t="str">
        <f t="shared" si="571"/>
        <v>×</v>
      </c>
      <c r="Q530" s="28" t="str">
        <f t="shared" ref="Q530" si="586">IF(O530=R530,$S$3,$T$3)</f>
        <v>×</v>
      </c>
      <c r="R530" s="23" t="s">
        <v>287</v>
      </c>
      <c r="U530">
        <v>528</v>
      </c>
      <c r="V530" s="9">
        <v>2</v>
      </c>
      <c r="W530" s="46">
        <f t="shared" ref="W530" si="587">IF(O530=R530,1,0)</f>
        <v>0</v>
      </c>
    </row>
    <row r="531" spans="2:23" ht="40" customHeight="1">
      <c r="B531" s="15"/>
      <c r="C531" s="25" t="s">
        <v>1201</v>
      </c>
      <c r="D531" s="25"/>
      <c r="E531" s="25"/>
      <c r="F531" s="25" t="s">
        <v>1012</v>
      </c>
      <c r="G531" s="25"/>
      <c r="H531" s="25"/>
      <c r="I531" s="25" t="s">
        <v>1422</v>
      </c>
      <c r="J531" s="25"/>
      <c r="K531" s="25"/>
      <c r="L531" s="25" t="s">
        <v>1014</v>
      </c>
      <c r="M531" s="25"/>
      <c r="N531" s="25"/>
      <c r="O531" s="18"/>
      <c r="P531" s="27"/>
      <c r="Q531" s="29"/>
      <c r="R531" s="30"/>
      <c r="U531">
        <v>529</v>
      </c>
      <c r="V531" s="9">
        <v>1</v>
      </c>
      <c r="W531" s="46"/>
    </row>
    <row r="532" spans="2:23" ht="40" customHeight="1">
      <c r="B532" s="14">
        <v>265</v>
      </c>
      <c r="C532" s="16" t="s">
        <v>1202</v>
      </c>
      <c r="D532" s="16"/>
      <c r="E532" s="16"/>
      <c r="F532" s="16"/>
      <c r="G532" s="16"/>
      <c r="H532" s="16"/>
      <c r="I532" s="16"/>
      <c r="J532" s="16"/>
      <c r="K532" s="16"/>
      <c r="L532" s="16"/>
      <c r="M532" s="16"/>
      <c r="N532" s="16"/>
      <c r="O532" s="17"/>
      <c r="P532" s="19" t="str">
        <f t="shared" si="571"/>
        <v>×</v>
      </c>
      <c r="Q532" s="28" t="str">
        <f t="shared" ref="Q532" si="588">IF(O532=R532,$S$3,$T$3)</f>
        <v>×</v>
      </c>
      <c r="R532" s="23" t="s">
        <v>290</v>
      </c>
      <c r="U532">
        <v>530</v>
      </c>
      <c r="V532" s="9">
        <v>2</v>
      </c>
      <c r="W532" s="46">
        <f t="shared" ref="W532" si="589">IF(O532=R532,1,0)</f>
        <v>0</v>
      </c>
    </row>
    <row r="533" spans="2:23" ht="40" customHeight="1">
      <c r="B533" s="15"/>
      <c r="C533" s="25" t="s">
        <v>1016</v>
      </c>
      <c r="D533" s="25"/>
      <c r="E533" s="25"/>
      <c r="F533" s="25" t="s">
        <v>1203</v>
      </c>
      <c r="G533" s="25"/>
      <c r="H533" s="25"/>
      <c r="I533" s="25" t="s">
        <v>1423</v>
      </c>
      <c r="J533" s="25"/>
      <c r="K533" s="25"/>
      <c r="L533" s="25" t="s">
        <v>1019</v>
      </c>
      <c r="M533" s="25"/>
      <c r="N533" s="25"/>
      <c r="O533" s="18"/>
      <c r="P533" s="27"/>
      <c r="Q533" s="29"/>
      <c r="R533" s="30"/>
      <c r="U533">
        <v>531</v>
      </c>
      <c r="V533" s="9">
        <v>1</v>
      </c>
      <c r="W533" s="46"/>
    </row>
    <row r="534" spans="2:23" ht="40" customHeight="1">
      <c r="B534" s="14">
        <v>266</v>
      </c>
      <c r="C534" s="47" t="s">
        <v>312</v>
      </c>
      <c r="D534" s="48"/>
      <c r="E534" s="48"/>
      <c r="F534" s="48"/>
      <c r="G534" s="48"/>
      <c r="H534" s="48"/>
      <c r="I534" s="48"/>
      <c r="J534" s="48"/>
      <c r="K534" s="48"/>
      <c r="L534" s="48"/>
      <c r="M534" s="48"/>
      <c r="N534" s="49"/>
      <c r="O534" s="17"/>
      <c r="P534" s="19"/>
      <c r="Q534" s="28"/>
      <c r="R534" s="23"/>
      <c r="U534">
        <v>532</v>
      </c>
      <c r="V534" s="9">
        <v>2</v>
      </c>
      <c r="W534" s="46"/>
    </row>
    <row r="535" spans="2:23" ht="40" customHeight="1">
      <c r="B535" s="15"/>
      <c r="C535" s="50"/>
      <c r="D535" s="51"/>
      <c r="E535" s="51"/>
      <c r="F535" s="51"/>
      <c r="G535" s="51"/>
      <c r="H535" s="51"/>
      <c r="I535" s="51"/>
      <c r="J535" s="51"/>
      <c r="K535" s="51"/>
      <c r="L535" s="51"/>
      <c r="M535" s="51"/>
      <c r="N535" s="52"/>
      <c r="O535" s="18"/>
      <c r="P535" s="27"/>
      <c r="Q535" s="29"/>
      <c r="R535" s="30"/>
      <c r="U535">
        <v>533</v>
      </c>
      <c r="V535" s="9">
        <v>1</v>
      </c>
      <c r="W535" s="46"/>
    </row>
    <row r="536" spans="2:23" ht="40" customHeight="1">
      <c r="B536" s="14">
        <v>267</v>
      </c>
      <c r="C536" s="47" t="s">
        <v>313</v>
      </c>
      <c r="D536" s="48"/>
      <c r="E536" s="48"/>
      <c r="F536" s="48"/>
      <c r="G536" s="48"/>
      <c r="H536" s="48"/>
      <c r="I536" s="48"/>
      <c r="J536" s="48"/>
      <c r="K536" s="48"/>
      <c r="L536" s="48"/>
      <c r="M536" s="48"/>
      <c r="N536" s="49"/>
      <c r="O536" s="17"/>
      <c r="P536" s="19"/>
      <c r="Q536" s="28"/>
      <c r="R536" s="23"/>
      <c r="U536">
        <v>534</v>
      </c>
      <c r="V536" s="9">
        <v>2</v>
      </c>
      <c r="W536" s="46"/>
    </row>
    <row r="537" spans="2:23" ht="40" customHeight="1">
      <c r="B537" s="15"/>
      <c r="C537" s="50"/>
      <c r="D537" s="51"/>
      <c r="E537" s="51"/>
      <c r="F537" s="51"/>
      <c r="G537" s="51"/>
      <c r="H537" s="51"/>
      <c r="I537" s="51"/>
      <c r="J537" s="51"/>
      <c r="K537" s="51"/>
      <c r="L537" s="51"/>
      <c r="M537" s="51"/>
      <c r="N537" s="52"/>
      <c r="O537" s="18"/>
      <c r="P537" s="27"/>
      <c r="Q537" s="29"/>
      <c r="R537" s="30"/>
      <c r="U537">
        <v>535</v>
      </c>
      <c r="V537" s="9">
        <v>1</v>
      </c>
      <c r="W537" s="46"/>
    </row>
    <row r="538" spans="2:23" ht="40" customHeight="1">
      <c r="B538" s="14">
        <v>268</v>
      </c>
      <c r="C538" s="16" t="s">
        <v>1204</v>
      </c>
      <c r="D538" s="16"/>
      <c r="E538" s="16"/>
      <c r="F538" s="16"/>
      <c r="G538" s="16"/>
      <c r="H538" s="16"/>
      <c r="I538" s="16"/>
      <c r="J538" s="16"/>
      <c r="K538" s="16"/>
      <c r="L538" s="16"/>
      <c r="M538" s="16"/>
      <c r="N538" s="16"/>
      <c r="O538" s="17"/>
      <c r="P538" s="19" t="str">
        <f t="shared" si="571"/>
        <v>×</v>
      </c>
      <c r="Q538" s="28" t="str">
        <f t="shared" ref="Q538" si="590">IF(O538=R538,$S$3,$T$3)</f>
        <v>×</v>
      </c>
      <c r="R538" s="23" t="s">
        <v>289</v>
      </c>
      <c r="U538">
        <v>536</v>
      </c>
      <c r="V538" s="9">
        <v>2</v>
      </c>
      <c r="W538" s="46">
        <f t="shared" ref="W538" si="591">IF(O538=R538,1,0)</f>
        <v>0</v>
      </c>
    </row>
    <row r="539" spans="2:23" ht="40" customHeight="1">
      <c r="B539" s="15"/>
      <c r="C539" s="25" t="s">
        <v>1031</v>
      </c>
      <c r="D539" s="25"/>
      <c r="E539" s="25"/>
      <c r="F539" s="25" t="s">
        <v>1032</v>
      </c>
      <c r="G539" s="25"/>
      <c r="H539" s="25"/>
      <c r="I539" s="25" t="s">
        <v>1205</v>
      </c>
      <c r="J539" s="25"/>
      <c r="K539" s="25"/>
      <c r="L539" s="25" t="s">
        <v>1206</v>
      </c>
      <c r="M539" s="25"/>
      <c r="N539" s="25"/>
      <c r="O539" s="18"/>
      <c r="P539" s="27"/>
      <c r="Q539" s="29"/>
      <c r="R539" s="30"/>
      <c r="U539">
        <v>537</v>
      </c>
      <c r="V539" s="9">
        <v>1</v>
      </c>
      <c r="W539" s="46"/>
    </row>
    <row r="540" spans="2:23" ht="40" customHeight="1">
      <c r="B540" s="14">
        <v>269</v>
      </c>
      <c r="C540" s="16" t="s">
        <v>1207</v>
      </c>
      <c r="D540" s="16"/>
      <c r="E540" s="16"/>
      <c r="F540" s="16"/>
      <c r="G540" s="16"/>
      <c r="H540" s="16"/>
      <c r="I540" s="16"/>
      <c r="J540" s="16"/>
      <c r="K540" s="16"/>
      <c r="L540" s="16"/>
      <c r="M540" s="16"/>
      <c r="N540" s="16"/>
      <c r="O540" s="17"/>
      <c r="P540" s="19" t="str">
        <f t="shared" si="571"/>
        <v>×</v>
      </c>
      <c r="Q540" s="28" t="str">
        <f t="shared" ref="Q540" si="592">IF(O540=R540,$S$3,$T$3)</f>
        <v>×</v>
      </c>
      <c r="R540" s="23" t="s">
        <v>290</v>
      </c>
      <c r="U540">
        <v>538</v>
      </c>
      <c r="V540" s="9">
        <v>2</v>
      </c>
      <c r="W540" s="46">
        <f t="shared" ref="W540" si="593">IF(O540=R540,1,0)</f>
        <v>0</v>
      </c>
    </row>
    <row r="541" spans="2:23" ht="40" customHeight="1">
      <c r="B541" s="15"/>
      <c r="C541" s="25" t="s">
        <v>1036</v>
      </c>
      <c r="D541" s="25"/>
      <c r="E541" s="25"/>
      <c r="F541" s="25" t="s">
        <v>1412</v>
      </c>
      <c r="G541" s="25"/>
      <c r="H541" s="25"/>
      <c r="I541" s="25" t="s">
        <v>1038</v>
      </c>
      <c r="J541" s="25"/>
      <c r="K541" s="25"/>
      <c r="L541" s="25" t="s">
        <v>1208</v>
      </c>
      <c r="M541" s="25"/>
      <c r="N541" s="25"/>
      <c r="O541" s="18"/>
      <c r="P541" s="27"/>
      <c r="Q541" s="29"/>
      <c r="R541" s="30"/>
      <c r="U541">
        <v>539</v>
      </c>
      <c r="V541" s="9">
        <v>1</v>
      </c>
      <c r="W541" s="46"/>
    </row>
    <row r="542" spans="2:23" ht="40" customHeight="1">
      <c r="B542" s="14">
        <v>270</v>
      </c>
      <c r="C542" s="16" t="s">
        <v>1209</v>
      </c>
      <c r="D542" s="16"/>
      <c r="E542" s="16"/>
      <c r="F542" s="16"/>
      <c r="G542" s="16"/>
      <c r="H542" s="16"/>
      <c r="I542" s="16"/>
      <c r="J542" s="16"/>
      <c r="K542" s="16"/>
      <c r="L542" s="16"/>
      <c r="M542" s="16"/>
      <c r="N542" s="16"/>
      <c r="O542" s="17"/>
      <c r="P542" s="19" t="str">
        <f t="shared" si="571"/>
        <v>×</v>
      </c>
      <c r="Q542" s="28" t="str">
        <f t="shared" ref="Q542" si="594">IF(O542=R542,$S$3,$T$3)</f>
        <v>×</v>
      </c>
      <c r="R542" s="23" t="s">
        <v>287</v>
      </c>
      <c r="U542">
        <v>540</v>
      </c>
      <c r="V542" s="9">
        <v>2</v>
      </c>
      <c r="W542" s="46">
        <f t="shared" ref="W542" si="595">IF(O542=R542,1,0)</f>
        <v>0</v>
      </c>
    </row>
    <row r="543" spans="2:23" ht="40" customHeight="1">
      <c r="B543" s="15"/>
      <c r="C543" s="25" t="s">
        <v>1210</v>
      </c>
      <c r="D543" s="25"/>
      <c r="E543" s="25"/>
      <c r="F543" s="25" t="s">
        <v>1042</v>
      </c>
      <c r="G543" s="25"/>
      <c r="H543" s="25"/>
      <c r="I543" s="25" t="s">
        <v>1043</v>
      </c>
      <c r="J543" s="25"/>
      <c r="K543" s="25"/>
      <c r="L543" s="25" t="s">
        <v>1413</v>
      </c>
      <c r="M543" s="25"/>
      <c r="N543" s="25"/>
      <c r="O543" s="18"/>
      <c r="P543" s="27"/>
      <c r="Q543" s="29"/>
      <c r="R543" s="30"/>
      <c r="U543">
        <v>541</v>
      </c>
      <c r="V543" s="9">
        <v>1</v>
      </c>
      <c r="W543" s="46"/>
    </row>
    <row r="544" spans="2:23" ht="40" customHeight="1">
      <c r="B544" s="14">
        <v>271</v>
      </c>
      <c r="C544" s="16" t="s">
        <v>1211</v>
      </c>
      <c r="D544" s="16"/>
      <c r="E544" s="16"/>
      <c r="F544" s="16"/>
      <c r="G544" s="16"/>
      <c r="H544" s="16"/>
      <c r="I544" s="16"/>
      <c r="J544" s="16"/>
      <c r="K544" s="16"/>
      <c r="L544" s="16"/>
      <c r="M544" s="16"/>
      <c r="N544" s="16"/>
      <c r="O544" s="17"/>
      <c r="P544" s="19" t="str">
        <f t="shared" si="571"/>
        <v>×</v>
      </c>
      <c r="Q544" s="28" t="str">
        <f t="shared" ref="Q544" si="596">IF(O544=R544,$S$3,$T$3)</f>
        <v>×</v>
      </c>
      <c r="R544" s="23" t="s">
        <v>288</v>
      </c>
      <c r="U544">
        <v>542</v>
      </c>
      <c r="V544" s="9">
        <v>2</v>
      </c>
      <c r="W544" s="46">
        <f t="shared" ref="W544" si="597">IF(O544=R544,1,0)</f>
        <v>0</v>
      </c>
    </row>
    <row r="545" spans="2:23" ht="40" customHeight="1">
      <c r="B545" s="15"/>
      <c r="C545" s="25" t="s">
        <v>1046</v>
      </c>
      <c r="D545" s="25"/>
      <c r="E545" s="25"/>
      <c r="F545" s="25" t="s">
        <v>1047</v>
      </c>
      <c r="G545" s="25"/>
      <c r="H545" s="25"/>
      <c r="I545" s="25" t="s">
        <v>1048</v>
      </c>
      <c r="J545" s="25"/>
      <c r="K545" s="25"/>
      <c r="L545" s="25" t="s">
        <v>1049</v>
      </c>
      <c r="M545" s="25"/>
      <c r="N545" s="25"/>
      <c r="O545" s="18"/>
      <c r="P545" s="27"/>
      <c r="Q545" s="29"/>
      <c r="R545" s="30"/>
      <c r="U545">
        <v>543</v>
      </c>
      <c r="V545" s="9">
        <v>1</v>
      </c>
      <c r="W545" s="46"/>
    </row>
    <row r="546" spans="2:23" ht="40" customHeight="1">
      <c r="B546" s="14">
        <v>272</v>
      </c>
      <c r="C546" s="47" t="s">
        <v>314</v>
      </c>
      <c r="D546" s="48"/>
      <c r="E546" s="48"/>
      <c r="F546" s="48"/>
      <c r="G546" s="48"/>
      <c r="H546" s="48"/>
      <c r="I546" s="48"/>
      <c r="J546" s="48"/>
      <c r="K546" s="48"/>
      <c r="L546" s="48"/>
      <c r="M546" s="48"/>
      <c r="N546" s="49"/>
      <c r="O546" s="17"/>
      <c r="P546" s="19"/>
      <c r="Q546" s="28"/>
      <c r="R546" s="23"/>
      <c r="U546">
        <v>544</v>
      </c>
      <c r="V546" s="9">
        <v>2</v>
      </c>
      <c r="W546" s="46"/>
    </row>
    <row r="547" spans="2:23" ht="40" customHeight="1">
      <c r="B547" s="15"/>
      <c r="C547" s="50"/>
      <c r="D547" s="51"/>
      <c r="E547" s="51"/>
      <c r="F547" s="51"/>
      <c r="G547" s="51"/>
      <c r="H547" s="51"/>
      <c r="I547" s="51"/>
      <c r="J547" s="51"/>
      <c r="K547" s="51"/>
      <c r="L547" s="51"/>
      <c r="M547" s="51"/>
      <c r="N547" s="52"/>
      <c r="O547" s="18"/>
      <c r="P547" s="27"/>
      <c r="Q547" s="29"/>
      <c r="R547" s="30"/>
      <c r="U547">
        <v>545</v>
      </c>
      <c r="V547" s="9">
        <v>1</v>
      </c>
      <c r="W547" s="46"/>
    </row>
    <row r="548" spans="2:23" ht="40" customHeight="1">
      <c r="B548" s="14">
        <v>273</v>
      </c>
      <c r="C548" s="47" t="s">
        <v>315</v>
      </c>
      <c r="D548" s="48"/>
      <c r="E548" s="48"/>
      <c r="F548" s="48"/>
      <c r="G548" s="48"/>
      <c r="H548" s="48"/>
      <c r="I548" s="48"/>
      <c r="J548" s="48"/>
      <c r="K548" s="48"/>
      <c r="L548" s="48"/>
      <c r="M548" s="48"/>
      <c r="N548" s="49"/>
      <c r="O548" s="17"/>
      <c r="P548" s="19"/>
      <c r="Q548" s="28"/>
      <c r="R548" s="23"/>
      <c r="U548">
        <v>546</v>
      </c>
      <c r="V548" s="9">
        <v>2</v>
      </c>
      <c r="W548" s="46"/>
    </row>
    <row r="549" spans="2:23" ht="40" customHeight="1">
      <c r="B549" s="15"/>
      <c r="C549" s="50"/>
      <c r="D549" s="51"/>
      <c r="E549" s="51"/>
      <c r="F549" s="51"/>
      <c r="G549" s="51"/>
      <c r="H549" s="51"/>
      <c r="I549" s="51"/>
      <c r="J549" s="51"/>
      <c r="K549" s="51"/>
      <c r="L549" s="51"/>
      <c r="M549" s="51"/>
      <c r="N549" s="52"/>
      <c r="O549" s="18"/>
      <c r="P549" s="27"/>
      <c r="Q549" s="29"/>
      <c r="R549" s="30"/>
      <c r="U549">
        <v>547</v>
      </c>
      <c r="V549" s="9">
        <v>1</v>
      </c>
      <c r="W549" s="46"/>
    </row>
    <row r="550" spans="2:23" ht="40" customHeight="1">
      <c r="B550" s="14">
        <v>274</v>
      </c>
      <c r="C550" s="47" t="s">
        <v>316</v>
      </c>
      <c r="D550" s="48"/>
      <c r="E550" s="48"/>
      <c r="F550" s="48"/>
      <c r="G550" s="48"/>
      <c r="H550" s="48"/>
      <c r="I550" s="48"/>
      <c r="J550" s="48"/>
      <c r="K550" s="48"/>
      <c r="L550" s="48"/>
      <c r="M550" s="48"/>
      <c r="N550" s="49"/>
      <c r="O550" s="17"/>
      <c r="P550" s="19"/>
      <c r="Q550" s="28"/>
      <c r="R550" s="23"/>
      <c r="U550">
        <v>548</v>
      </c>
      <c r="V550" s="9">
        <v>2</v>
      </c>
      <c r="W550" s="46"/>
    </row>
    <row r="551" spans="2:23" ht="40" customHeight="1">
      <c r="B551" s="15"/>
      <c r="C551" s="50"/>
      <c r="D551" s="51"/>
      <c r="E551" s="51"/>
      <c r="F551" s="51"/>
      <c r="G551" s="51"/>
      <c r="H551" s="51"/>
      <c r="I551" s="51"/>
      <c r="J551" s="51"/>
      <c r="K551" s="51"/>
      <c r="L551" s="51"/>
      <c r="M551" s="51"/>
      <c r="N551" s="52"/>
      <c r="O551" s="18"/>
      <c r="P551" s="27"/>
      <c r="Q551" s="29"/>
      <c r="R551" s="30"/>
      <c r="U551">
        <v>549</v>
      </c>
      <c r="V551" s="9">
        <v>1</v>
      </c>
      <c r="W551" s="46"/>
    </row>
    <row r="552" spans="2:23" ht="40" customHeight="1">
      <c r="B552" s="14">
        <v>275</v>
      </c>
      <c r="C552" s="47" t="s">
        <v>317</v>
      </c>
      <c r="D552" s="48"/>
      <c r="E552" s="48"/>
      <c r="F552" s="48"/>
      <c r="G552" s="48"/>
      <c r="H552" s="48"/>
      <c r="I552" s="48"/>
      <c r="J552" s="48"/>
      <c r="K552" s="48"/>
      <c r="L552" s="48"/>
      <c r="M552" s="48"/>
      <c r="N552" s="49"/>
      <c r="O552" s="17"/>
      <c r="P552" s="19"/>
      <c r="Q552" s="28"/>
      <c r="R552" s="23"/>
      <c r="U552">
        <v>550</v>
      </c>
      <c r="V552" s="9">
        <v>2</v>
      </c>
      <c r="W552" s="46"/>
    </row>
    <row r="553" spans="2:23" ht="40" customHeight="1">
      <c r="B553" s="15"/>
      <c r="C553" s="50"/>
      <c r="D553" s="51"/>
      <c r="E553" s="51"/>
      <c r="F553" s="51"/>
      <c r="G553" s="51"/>
      <c r="H553" s="51"/>
      <c r="I553" s="51"/>
      <c r="J553" s="51"/>
      <c r="K553" s="51"/>
      <c r="L553" s="51"/>
      <c r="M553" s="51"/>
      <c r="N553" s="52"/>
      <c r="O553" s="18"/>
      <c r="P553" s="27"/>
      <c r="Q553" s="29"/>
      <c r="R553" s="30"/>
      <c r="U553">
        <v>551</v>
      </c>
      <c r="V553" s="9">
        <v>1</v>
      </c>
      <c r="W553" s="46"/>
    </row>
    <row r="554" spans="2:23" ht="40" customHeight="1">
      <c r="B554" s="14">
        <v>276</v>
      </c>
      <c r="C554" s="47" t="s">
        <v>318</v>
      </c>
      <c r="D554" s="48"/>
      <c r="E554" s="48"/>
      <c r="F554" s="48"/>
      <c r="G554" s="48"/>
      <c r="H554" s="48"/>
      <c r="I554" s="48"/>
      <c r="J554" s="48"/>
      <c r="K554" s="48"/>
      <c r="L554" s="48"/>
      <c r="M554" s="48"/>
      <c r="N554" s="49"/>
      <c r="O554" s="17"/>
      <c r="P554" s="19"/>
      <c r="Q554" s="28"/>
      <c r="R554" s="23"/>
      <c r="U554">
        <v>552</v>
      </c>
      <c r="V554" s="9">
        <v>2</v>
      </c>
      <c r="W554" s="46"/>
    </row>
    <row r="555" spans="2:23" ht="40" customHeight="1">
      <c r="B555" s="15"/>
      <c r="C555" s="50"/>
      <c r="D555" s="51"/>
      <c r="E555" s="51"/>
      <c r="F555" s="51"/>
      <c r="G555" s="51"/>
      <c r="H555" s="51"/>
      <c r="I555" s="51"/>
      <c r="J555" s="51"/>
      <c r="K555" s="51"/>
      <c r="L555" s="51"/>
      <c r="M555" s="51"/>
      <c r="N555" s="52"/>
      <c r="O555" s="18"/>
      <c r="P555" s="27"/>
      <c r="Q555" s="29"/>
      <c r="R555" s="30"/>
      <c r="U555">
        <v>553</v>
      </c>
      <c r="V555" s="9">
        <v>1</v>
      </c>
      <c r="W555" s="46"/>
    </row>
    <row r="556" spans="2:23" ht="40" customHeight="1">
      <c r="B556" s="14">
        <v>277</v>
      </c>
      <c r="C556" s="47" t="s">
        <v>319</v>
      </c>
      <c r="D556" s="48"/>
      <c r="E556" s="48"/>
      <c r="F556" s="48"/>
      <c r="G556" s="48"/>
      <c r="H556" s="48"/>
      <c r="I556" s="48"/>
      <c r="J556" s="48"/>
      <c r="K556" s="48"/>
      <c r="L556" s="48"/>
      <c r="M556" s="48"/>
      <c r="N556" s="49"/>
      <c r="O556" s="17"/>
      <c r="P556" s="19"/>
      <c r="Q556" s="28"/>
      <c r="R556" s="23"/>
      <c r="U556">
        <v>554</v>
      </c>
      <c r="V556" s="9">
        <v>2</v>
      </c>
      <c r="W556" s="46"/>
    </row>
    <row r="557" spans="2:23" ht="40" customHeight="1">
      <c r="B557" s="15"/>
      <c r="C557" s="50"/>
      <c r="D557" s="51"/>
      <c r="E557" s="51"/>
      <c r="F557" s="51"/>
      <c r="G557" s="51"/>
      <c r="H557" s="51"/>
      <c r="I557" s="51"/>
      <c r="J557" s="51"/>
      <c r="K557" s="51"/>
      <c r="L557" s="51"/>
      <c r="M557" s="51"/>
      <c r="N557" s="52"/>
      <c r="O557" s="18"/>
      <c r="P557" s="27"/>
      <c r="Q557" s="29"/>
      <c r="R557" s="30"/>
      <c r="U557">
        <v>555</v>
      </c>
      <c r="V557" s="9">
        <v>1</v>
      </c>
      <c r="W557" s="46"/>
    </row>
    <row r="558" spans="2:23" ht="40" customHeight="1">
      <c r="B558" s="14">
        <v>278</v>
      </c>
      <c r="C558" s="16" t="s">
        <v>1212</v>
      </c>
      <c r="D558" s="16"/>
      <c r="E558" s="16"/>
      <c r="F558" s="16"/>
      <c r="G558" s="16"/>
      <c r="H558" s="16"/>
      <c r="I558" s="16"/>
      <c r="J558" s="16"/>
      <c r="K558" s="16"/>
      <c r="L558" s="16"/>
      <c r="M558" s="16"/>
      <c r="N558" s="16"/>
      <c r="O558" s="17"/>
      <c r="P558" s="19" t="str">
        <f t="shared" si="571"/>
        <v>×</v>
      </c>
      <c r="Q558" s="28" t="str">
        <f t="shared" ref="Q558" si="598">IF(O558=R558,$S$3,$T$3)</f>
        <v>×</v>
      </c>
      <c r="R558" s="23" t="s">
        <v>288</v>
      </c>
      <c r="U558">
        <v>556</v>
      </c>
      <c r="V558" s="9">
        <v>2</v>
      </c>
      <c r="W558" s="46">
        <f t="shared" ref="W558" si="599">IF(O558=R558,1,0)</f>
        <v>0</v>
      </c>
    </row>
    <row r="559" spans="2:23" ht="40" customHeight="1">
      <c r="B559" s="15"/>
      <c r="C559" s="25" t="s">
        <v>1075</v>
      </c>
      <c r="D559" s="25"/>
      <c r="E559" s="25"/>
      <c r="F559" s="25" t="s">
        <v>1076</v>
      </c>
      <c r="G559" s="25"/>
      <c r="H559" s="25"/>
      <c r="I559" s="25" t="s">
        <v>1213</v>
      </c>
      <c r="J559" s="25"/>
      <c r="K559" s="25"/>
      <c r="L559" s="25" t="s">
        <v>1214</v>
      </c>
      <c r="M559" s="25"/>
      <c r="N559" s="25"/>
      <c r="O559" s="18"/>
      <c r="P559" s="27"/>
      <c r="Q559" s="29"/>
      <c r="R559" s="30"/>
      <c r="U559">
        <v>557</v>
      </c>
      <c r="V559" s="9">
        <v>1</v>
      </c>
      <c r="W559" s="46"/>
    </row>
    <row r="560" spans="2:23" ht="40" customHeight="1">
      <c r="B560" s="14">
        <v>279</v>
      </c>
      <c r="C560" s="16" t="s">
        <v>1215</v>
      </c>
      <c r="D560" s="16"/>
      <c r="E560" s="16"/>
      <c r="F560" s="16"/>
      <c r="G560" s="16"/>
      <c r="H560" s="16"/>
      <c r="I560" s="16"/>
      <c r="J560" s="16"/>
      <c r="K560" s="16"/>
      <c r="L560" s="16"/>
      <c r="M560" s="16"/>
      <c r="N560" s="16"/>
      <c r="O560" s="17"/>
      <c r="P560" s="19" t="str">
        <f t="shared" si="571"/>
        <v>×</v>
      </c>
      <c r="Q560" s="28" t="str">
        <f t="shared" ref="Q560" si="600">IF(O560=R560,$S$3,$T$3)</f>
        <v>×</v>
      </c>
      <c r="R560" s="23" t="s">
        <v>288</v>
      </c>
      <c r="U560">
        <v>558</v>
      </c>
      <c r="V560" s="9">
        <v>2</v>
      </c>
      <c r="W560" s="46">
        <f t="shared" ref="W560" si="601">IF(O560=R560,1,0)</f>
        <v>0</v>
      </c>
    </row>
    <row r="561" spans="2:23" ht="40" customHeight="1">
      <c r="B561" s="15"/>
      <c r="C561" s="25" t="s">
        <v>1216</v>
      </c>
      <c r="D561" s="25"/>
      <c r="E561" s="25"/>
      <c r="F561" s="25" t="s">
        <v>1080</v>
      </c>
      <c r="G561" s="25"/>
      <c r="H561" s="25"/>
      <c r="I561" s="25" t="s">
        <v>1081</v>
      </c>
      <c r="J561" s="25"/>
      <c r="K561" s="25"/>
      <c r="L561" s="25" t="s">
        <v>1217</v>
      </c>
      <c r="M561" s="25"/>
      <c r="N561" s="25"/>
      <c r="O561" s="18"/>
      <c r="P561" s="27"/>
      <c r="Q561" s="29"/>
      <c r="R561" s="30"/>
      <c r="U561">
        <v>559</v>
      </c>
      <c r="V561" s="9">
        <v>1</v>
      </c>
      <c r="W561" s="46"/>
    </row>
    <row r="562" spans="2:23" ht="40" customHeight="1">
      <c r="B562" s="14">
        <v>280</v>
      </c>
      <c r="C562" s="16" t="s">
        <v>1218</v>
      </c>
      <c r="D562" s="16"/>
      <c r="E562" s="16"/>
      <c r="F562" s="16"/>
      <c r="G562" s="16"/>
      <c r="H562" s="16"/>
      <c r="I562" s="16"/>
      <c r="J562" s="16"/>
      <c r="K562" s="16"/>
      <c r="L562" s="16"/>
      <c r="M562" s="16"/>
      <c r="N562" s="16"/>
      <c r="O562" s="17"/>
      <c r="P562" s="19" t="str">
        <f t="shared" si="571"/>
        <v>×</v>
      </c>
      <c r="Q562" s="28" t="str">
        <f t="shared" ref="Q562" si="602">IF(O562=R562,$S$3,$T$3)</f>
        <v>×</v>
      </c>
      <c r="R562" s="23" t="s">
        <v>290</v>
      </c>
      <c r="U562">
        <v>560</v>
      </c>
      <c r="V562" s="9">
        <v>2</v>
      </c>
      <c r="W562" s="46">
        <f t="shared" ref="W562" si="603">IF(O562=R562,1,0)</f>
        <v>0</v>
      </c>
    </row>
    <row r="563" spans="2:23" ht="40" customHeight="1">
      <c r="B563" s="15"/>
      <c r="C563" s="25" t="s">
        <v>1084</v>
      </c>
      <c r="D563" s="25"/>
      <c r="E563" s="25"/>
      <c r="F563" s="25" t="s">
        <v>1414</v>
      </c>
      <c r="G563" s="25"/>
      <c r="H563" s="25"/>
      <c r="I563" s="25" t="s">
        <v>1219</v>
      </c>
      <c r="J563" s="25"/>
      <c r="K563" s="25"/>
      <c r="L563" s="25" t="s">
        <v>1087</v>
      </c>
      <c r="M563" s="25"/>
      <c r="N563" s="25"/>
      <c r="O563" s="18"/>
      <c r="P563" s="27"/>
      <c r="Q563" s="29"/>
      <c r="R563" s="30"/>
      <c r="U563">
        <v>561</v>
      </c>
      <c r="V563" s="9">
        <v>1</v>
      </c>
      <c r="W563" s="46"/>
    </row>
    <row r="564" spans="2:23" ht="40" customHeight="1">
      <c r="B564" s="14">
        <v>281</v>
      </c>
      <c r="C564" s="16" t="s">
        <v>1220</v>
      </c>
      <c r="D564" s="16"/>
      <c r="E564" s="16"/>
      <c r="F564" s="16"/>
      <c r="G564" s="16"/>
      <c r="H564" s="16"/>
      <c r="I564" s="16"/>
      <c r="J564" s="16"/>
      <c r="K564" s="16"/>
      <c r="L564" s="16"/>
      <c r="M564" s="16"/>
      <c r="N564" s="16"/>
      <c r="O564" s="17"/>
      <c r="P564" s="19" t="str">
        <f t="shared" si="571"/>
        <v>×</v>
      </c>
      <c r="Q564" s="28" t="str">
        <f t="shared" ref="Q564" si="604">IF(O564=R564,$S$3,$T$3)</f>
        <v>×</v>
      </c>
      <c r="R564" s="23" t="s">
        <v>287</v>
      </c>
      <c r="U564">
        <v>562</v>
      </c>
      <c r="V564" s="9">
        <v>2</v>
      </c>
      <c r="W564" s="46">
        <f t="shared" ref="W564" si="605">IF(O564=R564,1,0)</f>
        <v>0</v>
      </c>
    </row>
    <row r="565" spans="2:23" ht="40" customHeight="1">
      <c r="B565" s="15"/>
      <c r="C565" s="25" t="s">
        <v>1221</v>
      </c>
      <c r="D565" s="25"/>
      <c r="E565" s="25"/>
      <c r="F565" s="25" t="s">
        <v>1090</v>
      </c>
      <c r="G565" s="25"/>
      <c r="H565" s="25"/>
      <c r="I565" s="25" t="s">
        <v>280</v>
      </c>
      <c r="J565" s="25"/>
      <c r="K565" s="25"/>
      <c r="L565" s="25" t="s">
        <v>281</v>
      </c>
      <c r="M565" s="25"/>
      <c r="N565" s="25"/>
      <c r="O565" s="18"/>
      <c r="P565" s="27"/>
      <c r="Q565" s="29"/>
      <c r="R565" s="30"/>
      <c r="U565">
        <v>563</v>
      </c>
      <c r="V565" s="9">
        <v>1</v>
      </c>
      <c r="W565" s="46"/>
    </row>
    <row r="566" spans="2:23" ht="40" customHeight="1">
      <c r="B566" s="14">
        <v>282</v>
      </c>
      <c r="C566" s="16" t="s">
        <v>1222</v>
      </c>
      <c r="D566" s="16"/>
      <c r="E566" s="16"/>
      <c r="F566" s="16"/>
      <c r="G566" s="16"/>
      <c r="H566" s="16"/>
      <c r="I566" s="16"/>
      <c r="J566" s="16"/>
      <c r="K566" s="16"/>
      <c r="L566" s="16"/>
      <c r="M566" s="16"/>
      <c r="N566" s="16"/>
      <c r="O566" s="17"/>
      <c r="P566" s="19" t="str">
        <f t="shared" si="571"/>
        <v>×</v>
      </c>
      <c r="Q566" s="28" t="str">
        <f t="shared" ref="Q566" si="606">IF(O566=R566,$S$3,$T$3)</f>
        <v>×</v>
      </c>
      <c r="R566" s="23" t="s">
        <v>288</v>
      </c>
      <c r="U566">
        <v>564</v>
      </c>
      <c r="V566" s="9">
        <v>2</v>
      </c>
      <c r="W566" s="46">
        <f t="shared" ref="W566" si="607">IF(O566=R566,1,0)</f>
        <v>0</v>
      </c>
    </row>
    <row r="567" spans="2:23" ht="40" customHeight="1">
      <c r="B567" s="15"/>
      <c r="C567" s="25" t="s">
        <v>1094</v>
      </c>
      <c r="D567" s="25"/>
      <c r="E567" s="25"/>
      <c r="F567" s="25" t="s">
        <v>1223</v>
      </c>
      <c r="G567" s="25"/>
      <c r="H567" s="25"/>
      <c r="I567" s="25" t="s">
        <v>1096</v>
      </c>
      <c r="J567" s="25"/>
      <c r="K567" s="25"/>
      <c r="L567" s="25" t="s">
        <v>1224</v>
      </c>
      <c r="M567" s="25"/>
      <c r="N567" s="25"/>
      <c r="O567" s="18"/>
      <c r="P567" s="27"/>
      <c r="Q567" s="29"/>
      <c r="R567" s="30"/>
      <c r="U567">
        <v>565</v>
      </c>
      <c r="V567" s="9">
        <v>1</v>
      </c>
      <c r="W567" s="46"/>
    </row>
    <row r="568" spans="2:23" ht="40" customHeight="1">
      <c r="B568" s="14">
        <v>283</v>
      </c>
      <c r="C568" s="16" t="s">
        <v>1225</v>
      </c>
      <c r="D568" s="16"/>
      <c r="E568" s="16"/>
      <c r="F568" s="16"/>
      <c r="G568" s="16"/>
      <c r="H568" s="16"/>
      <c r="I568" s="16"/>
      <c r="J568" s="16"/>
      <c r="K568" s="16"/>
      <c r="L568" s="16"/>
      <c r="M568" s="16"/>
      <c r="N568" s="16"/>
      <c r="O568" s="17"/>
      <c r="P568" s="19" t="str">
        <f t="shared" ref="P568:P630" si="608">Q568</f>
        <v>×</v>
      </c>
      <c r="Q568" s="28" t="str">
        <f t="shared" ref="Q568" si="609">IF(O568=R568,$S$3,$T$3)</f>
        <v>×</v>
      </c>
      <c r="R568" s="23" t="s">
        <v>288</v>
      </c>
      <c r="U568">
        <v>566</v>
      </c>
      <c r="V568" s="9">
        <v>2</v>
      </c>
      <c r="W568" s="46">
        <f t="shared" ref="W568" si="610">IF(O568=R568,1,0)</f>
        <v>0</v>
      </c>
    </row>
    <row r="569" spans="2:23" ht="40" customHeight="1">
      <c r="B569" s="15"/>
      <c r="C569" s="25" t="s">
        <v>1226</v>
      </c>
      <c r="D569" s="25"/>
      <c r="E569" s="25"/>
      <c r="F569" s="25" t="s">
        <v>1227</v>
      </c>
      <c r="G569" s="25"/>
      <c r="H569" s="25"/>
      <c r="I569" s="25" t="s">
        <v>1228</v>
      </c>
      <c r="J569" s="25"/>
      <c r="K569" s="25"/>
      <c r="L569" s="25" t="s">
        <v>1229</v>
      </c>
      <c r="M569" s="25"/>
      <c r="N569" s="25"/>
      <c r="O569" s="18"/>
      <c r="P569" s="27"/>
      <c r="Q569" s="29"/>
      <c r="R569" s="30"/>
      <c r="U569">
        <v>567</v>
      </c>
      <c r="V569" s="9">
        <v>1</v>
      </c>
      <c r="W569" s="46"/>
    </row>
    <row r="570" spans="2:23" ht="40" customHeight="1">
      <c r="B570" s="14">
        <v>284</v>
      </c>
      <c r="C570" s="16" t="s">
        <v>1230</v>
      </c>
      <c r="D570" s="16"/>
      <c r="E570" s="16"/>
      <c r="F570" s="16"/>
      <c r="G570" s="16"/>
      <c r="H570" s="16"/>
      <c r="I570" s="16"/>
      <c r="J570" s="16"/>
      <c r="K570" s="16"/>
      <c r="L570" s="16"/>
      <c r="M570" s="16"/>
      <c r="N570" s="16"/>
      <c r="O570" s="17"/>
      <c r="P570" s="19" t="str">
        <f t="shared" si="608"/>
        <v>×</v>
      </c>
      <c r="Q570" s="28" t="str">
        <f t="shared" ref="Q570" si="611">IF(O570=R570,$S$3,$T$3)</f>
        <v>×</v>
      </c>
      <c r="R570" s="23" t="s">
        <v>289</v>
      </c>
      <c r="U570">
        <v>568</v>
      </c>
      <c r="V570" s="9">
        <v>2</v>
      </c>
      <c r="W570" s="46">
        <f t="shared" ref="W570" si="612">IF(O570=R570,1,0)</f>
        <v>0</v>
      </c>
    </row>
    <row r="571" spans="2:23" ht="40" customHeight="1">
      <c r="B571" s="15"/>
      <c r="C571" s="25" t="s">
        <v>1231</v>
      </c>
      <c r="D571" s="25"/>
      <c r="E571" s="25"/>
      <c r="F571" s="25" t="s">
        <v>1232</v>
      </c>
      <c r="G571" s="25"/>
      <c r="H571" s="25"/>
      <c r="I571" s="25" t="s">
        <v>1233</v>
      </c>
      <c r="J571" s="25"/>
      <c r="K571" s="25"/>
      <c r="L571" s="25" t="s">
        <v>1234</v>
      </c>
      <c r="M571" s="25"/>
      <c r="N571" s="25"/>
      <c r="O571" s="18"/>
      <c r="P571" s="27"/>
      <c r="Q571" s="29"/>
      <c r="R571" s="30"/>
      <c r="U571">
        <v>569</v>
      </c>
      <c r="V571" s="9">
        <v>1</v>
      </c>
      <c r="W571" s="46"/>
    </row>
    <row r="572" spans="2:23" ht="40" customHeight="1">
      <c r="B572" s="14">
        <v>285</v>
      </c>
      <c r="C572" s="16" t="s">
        <v>1235</v>
      </c>
      <c r="D572" s="16"/>
      <c r="E572" s="16"/>
      <c r="F572" s="16"/>
      <c r="G572" s="16"/>
      <c r="H572" s="16"/>
      <c r="I572" s="16"/>
      <c r="J572" s="16"/>
      <c r="K572" s="16"/>
      <c r="L572" s="16"/>
      <c r="M572" s="16"/>
      <c r="N572" s="16"/>
      <c r="O572" s="17"/>
      <c r="P572" s="19" t="str">
        <f t="shared" si="608"/>
        <v>×</v>
      </c>
      <c r="Q572" s="28" t="str">
        <f t="shared" ref="Q572" si="613">IF(O572=R572,$S$3,$T$3)</f>
        <v>×</v>
      </c>
      <c r="R572" s="23" t="s">
        <v>287</v>
      </c>
      <c r="U572">
        <v>570</v>
      </c>
      <c r="V572" s="9">
        <v>2</v>
      </c>
      <c r="W572" s="46">
        <f t="shared" ref="W572" si="614">IF(O572=R572,1,0)</f>
        <v>0</v>
      </c>
    </row>
    <row r="573" spans="2:23" ht="40" customHeight="1">
      <c r="B573" s="15"/>
      <c r="C573" s="25" t="s">
        <v>1236</v>
      </c>
      <c r="D573" s="25"/>
      <c r="E573" s="25"/>
      <c r="F573" s="25" t="s">
        <v>1237</v>
      </c>
      <c r="G573" s="25"/>
      <c r="H573" s="25"/>
      <c r="I573" s="25" t="s">
        <v>1238</v>
      </c>
      <c r="J573" s="25"/>
      <c r="K573" s="25"/>
      <c r="L573" s="25" t="s">
        <v>1239</v>
      </c>
      <c r="M573" s="25"/>
      <c r="N573" s="25"/>
      <c r="O573" s="18"/>
      <c r="P573" s="27"/>
      <c r="Q573" s="29"/>
      <c r="R573" s="30"/>
      <c r="U573">
        <v>571</v>
      </c>
      <c r="V573" s="9">
        <v>1</v>
      </c>
      <c r="W573" s="46"/>
    </row>
    <row r="574" spans="2:23" ht="40" customHeight="1">
      <c r="B574" s="14">
        <v>286</v>
      </c>
      <c r="C574" s="16" t="s">
        <v>1240</v>
      </c>
      <c r="D574" s="16"/>
      <c r="E574" s="16"/>
      <c r="F574" s="16"/>
      <c r="G574" s="16"/>
      <c r="H574" s="16"/>
      <c r="I574" s="16"/>
      <c r="J574" s="16"/>
      <c r="K574" s="16"/>
      <c r="L574" s="16"/>
      <c r="M574" s="16"/>
      <c r="N574" s="16"/>
      <c r="O574" s="17"/>
      <c r="P574" s="19" t="str">
        <f t="shared" si="608"/>
        <v>×</v>
      </c>
      <c r="Q574" s="28" t="str">
        <f t="shared" ref="Q574" si="615">IF(O574=R574,$S$3,$T$3)</f>
        <v>×</v>
      </c>
      <c r="R574" s="23" t="s">
        <v>288</v>
      </c>
      <c r="U574">
        <v>572</v>
      </c>
      <c r="V574" s="9">
        <v>2</v>
      </c>
      <c r="W574" s="46">
        <f t="shared" ref="W574" si="616">IF(O574=R574,1,0)</f>
        <v>0</v>
      </c>
    </row>
    <row r="575" spans="2:23" ht="40" customHeight="1">
      <c r="B575" s="15"/>
      <c r="C575" s="25" t="s">
        <v>1241</v>
      </c>
      <c r="D575" s="25"/>
      <c r="E575" s="25"/>
      <c r="F575" s="25" t="s">
        <v>1242</v>
      </c>
      <c r="G575" s="25"/>
      <c r="H575" s="25"/>
      <c r="I575" s="25" t="s">
        <v>1305</v>
      </c>
      <c r="J575" s="25"/>
      <c r="K575" s="25"/>
      <c r="L575" s="25" t="s">
        <v>1243</v>
      </c>
      <c r="M575" s="25"/>
      <c r="N575" s="25"/>
      <c r="O575" s="18"/>
      <c r="P575" s="27"/>
      <c r="Q575" s="29"/>
      <c r="R575" s="30"/>
      <c r="U575">
        <v>573</v>
      </c>
      <c r="V575" s="9">
        <v>1</v>
      </c>
      <c r="W575" s="46"/>
    </row>
    <row r="576" spans="2:23" ht="40" customHeight="1">
      <c r="B576" s="14">
        <v>287</v>
      </c>
      <c r="C576" s="16" t="s">
        <v>1244</v>
      </c>
      <c r="D576" s="16"/>
      <c r="E576" s="16"/>
      <c r="F576" s="16"/>
      <c r="G576" s="16"/>
      <c r="H576" s="16"/>
      <c r="I576" s="16"/>
      <c r="J576" s="16"/>
      <c r="K576" s="16"/>
      <c r="L576" s="16"/>
      <c r="M576" s="16"/>
      <c r="N576" s="16"/>
      <c r="O576" s="17"/>
      <c r="P576" s="19" t="str">
        <f t="shared" si="608"/>
        <v>×</v>
      </c>
      <c r="Q576" s="28" t="str">
        <f t="shared" ref="Q576" si="617">IF(O576=R576,$S$3,$T$3)</f>
        <v>×</v>
      </c>
      <c r="R576" s="23" t="s">
        <v>288</v>
      </c>
      <c r="U576">
        <v>574</v>
      </c>
      <c r="V576" s="9">
        <v>2</v>
      </c>
      <c r="W576" s="46">
        <f t="shared" ref="W576" si="618">IF(O576=R576,1,0)</f>
        <v>0</v>
      </c>
    </row>
    <row r="577" spans="2:23" ht="40" customHeight="1">
      <c r="B577" s="15"/>
      <c r="C577" s="25" t="s">
        <v>1303</v>
      </c>
      <c r="D577" s="25"/>
      <c r="E577" s="25"/>
      <c r="F577" s="25" t="s">
        <v>1245</v>
      </c>
      <c r="G577" s="25"/>
      <c r="H577" s="25"/>
      <c r="I577" s="25" t="s">
        <v>1304</v>
      </c>
      <c r="J577" s="25"/>
      <c r="K577" s="25"/>
      <c r="L577" s="25" t="s">
        <v>1246</v>
      </c>
      <c r="M577" s="25"/>
      <c r="N577" s="25"/>
      <c r="O577" s="18"/>
      <c r="P577" s="27"/>
      <c r="Q577" s="29"/>
      <c r="R577" s="30"/>
      <c r="U577">
        <v>575</v>
      </c>
      <c r="V577" s="9">
        <v>1</v>
      </c>
      <c r="W577" s="46"/>
    </row>
    <row r="578" spans="2:23" ht="40" customHeight="1">
      <c r="B578" s="14">
        <v>288</v>
      </c>
      <c r="C578" s="16" t="s">
        <v>1247</v>
      </c>
      <c r="D578" s="16"/>
      <c r="E578" s="16"/>
      <c r="F578" s="16"/>
      <c r="G578" s="16"/>
      <c r="H578" s="16"/>
      <c r="I578" s="16"/>
      <c r="J578" s="16"/>
      <c r="K578" s="16"/>
      <c r="L578" s="16"/>
      <c r="M578" s="16"/>
      <c r="N578" s="16"/>
      <c r="O578" s="17"/>
      <c r="P578" s="19" t="str">
        <f t="shared" si="608"/>
        <v>×</v>
      </c>
      <c r="Q578" s="28" t="str">
        <f t="shared" ref="Q578" si="619">IF(O578=R578,$S$3,$T$3)</f>
        <v>×</v>
      </c>
      <c r="R578" s="23" t="s">
        <v>288</v>
      </c>
      <c r="U578">
        <v>576</v>
      </c>
      <c r="V578" s="9">
        <v>2</v>
      </c>
      <c r="W578" s="46">
        <f t="shared" ref="W578" si="620">IF(O578=R578,1,0)</f>
        <v>0</v>
      </c>
    </row>
    <row r="579" spans="2:23" ht="40" customHeight="1">
      <c r="B579" s="15"/>
      <c r="C579" s="25" t="s">
        <v>1248</v>
      </c>
      <c r="D579" s="25"/>
      <c r="E579" s="25"/>
      <c r="F579" s="25" t="s">
        <v>1249</v>
      </c>
      <c r="G579" s="25"/>
      <c r="H579" s="25"/>
      <c r="I579" s="25" t="s">
        <v>1250</v>
      </c>
      <c r="J579" s="25"/>
      <c r="K579" s="25"/>
      <c r="L579" s="25" t="s">
        <v>1251</v>
      </c>
      <c r="M579" s="25"/>
      <c r="N579" s="25"/>
      <c r="O579" s="18"/>
      <c r="P579" s="27"/>
      <c r="Q579" s="29"/>
      <c r="R579" s="30"/>
      <c r="U579">
        <v>577</v>
      </c>
      <c r="V579" s="9">
        <v>1</v>
      </c>
      <c r="W579" s="46"/>
    </row>
    <row r="580" spans="2:23" ht="40" customHeight="1">
      <c r="B580" s="14">
        <v>289</v>
      </c>
      <c r="C580" s="16" t="s">
        <v>1252</v>
      </c>
      <c r="D580" s="16"/>
      <c r="E580" s="16"/>
      <c r="F580" s="16"/>
      <c r="G580" s="16"/>
      <c r="H580" s="16"/>
      <c r="I580" s="16"/>
      <c r="J580" s="16"/>
      <c r="K580" s="16"/>
      <c r="L580" s="16"/>
      <c r="M580" s="16"/>
      <c r="N580" s="16"/>
      <c r="O580" s="17"/>
      <c r="P580" s="19" t="str">
        <f t="shared" si="608"/>
        <v>×</v>
      </c>
      <c r="Q580" s="28" t="str">
        <f t="shared" ref="Q580" si="621">IF(O580=R580,$S$3,$T$3)</f>
        <v>×</v>
      </c>
      <c r="R580" s="23" t="s">
        <v>290</v>
      </c>
      <c r="U580">
        <v>578</v>
      </c>
      <c r="V580" s="9">
        <v>2</v>
      </c>
      <c r="W580" s="46">
        <f t="shared" ref="W580" si="622">IF(O580=R580,1,0)</f>
        <v>0</v>
      </c>
    </row>
    <row r="581" spans="2:23" ht="40" customHeight="1">
      <c r="B581" s="15"/>
      <c r="C581" s="25" t="s">
        <v>1253</v>
      </c>
      <c r="D581" s="25"/>
      <c r="E581" s="25"/>
      <c r="F581" s="25" t="s">
        <v>1254</v>
      </c>
      <c r="G581" s="25"/>
      <c r="H581" s="25"/>
      <c r="I581" s="25" t="s">
        <v>1255</v>
      </c>
      <c r="J581" s="25"/>
      <c r="K581" s="25"/>
      <c r="L581" s="25" t="s">
        <v>1256</v>
      </c>
      <c r="M581" s="25"/>
      <c r="N581" s="25"/>
      <c r="O581" s="18"/>
      <c r="P581" s="27"/>
      <c r="Q581" s="29"/>
      <c r="R581" s="30"/>
      <c r="U581">
        <v>579</v>
      </c>
      <c r="V581" s="9">
        <v>1</v>
      </c>
      <c r="W581" s="46"/>
    </row>
    <row r="582" spans="2:23" ht="40" customHeight="1">
      <c r="B582" s="14">
        <v>290</v>
      </c>
      <c r="C582" s="55" t="s">
        <v>1306</v>
      </c>
      <c r="D582" s="56"/>
      <c r="E582" s="56"/>
      <c r="F582" s="56"/>
      <c r="G582" s="56"/>
      <c r="H582" s="56"/>
      <c r="I582" s="56"/>
      <c r="J582" s="56"/>
      <c r="K582" s="56"/>
      <c r="L582" s="56"/>
      <c r="M582" s="56"/>
      <c r="N582" s="56"/>
      <c r="O582" s="17"/>
      <c r="P582" s="19" t="str">
        <f t="shared" si="608"/>
        <v>×</v>
      </c>
      <c r="Q582" s="28" t="str">
        <f t="shared" ref="Q582" si="623">IF(O582=R582,$S$3,$T$3)</f>
        <v>×</v>
      </c>
      <c r="R582" s="23" t="s">
        <v>287</v>
      </c>
      <c r="U582">
        <v>580</v>
      </c>
      <c r="V582" s="9">
        <v>2</v>
      </c>
      <c r="W582" s="46">
        <f t="shared" ref="W582" si="624">IF(O582=R582,1,0)</f>
        <v>0</v>
      </c>
    </row>
    <row r="583" spans="2:23" ht="40" customHeight="1">
      <c r="B583" s="15"/>
      <c r="C583" s="25" t="s">
        <v>1066</v>
      </c>
      <c r="D583" s="25"/>
      <c r="E583" s="25"/>
      <c r="F583" s="25" t="s">
        <v>1067</v>
      </c>
      <c r="G583" s="25"/>
      <c r="H583" s="25"/>
      <c r="I583" s="25" t="s">
        <v>1257</v>
      </c>
      <c r="J583" s="25"/>
      <c r="K583" s="25"/>
      <c r="L583" s="25" t="s">
        <v>1105</v>
      </c>
      <c r="M583" s="25"/>
      <c r="N583" s="25"/>
      <c r="O583" s="18"/>
      <c r="P583" s="27"/>
      <c r="Q583" s="29"/>
      <c r="R583" s="30"/>
      <c r="U583">
        <v>581</v>
      </c>
      <c r="V583" s="9">
        <v>1</v>
      </c>
      <c r="W583" s="46"/>
    </row>
    <row r="584" spans="2:23" ht="40" customHeight="1">
      <c r="B584" s="14">
        <v>291</v>
      </c>
      <c r="C584" s="16" t="s">
        <v>1258</v>
      </c>
      <c r="D584" s="16"/>
      <c r="E584" s="16"/>
      <c r="F584" s="16"/>
      <c r="G584" s="16"/>
      <c r="H584" s="16"/>
      <c r="I584" s="16"/>
      <c r="J584" s="16"/>
      <c r="K584" s="16"/>
      <c r="L584" s="16"/>
      <c r="M584" s="16"/>
      <c r="N584" s="16"/>
      <c r="O584" s="17"/>
      <c r="P584" s="19" t="str">
        <f t="shared" si="608"/>
        <v>×</v>
      </c>
      <c r="Q584" s="28" t="str">
        <f t="shared" ref="Q584" si="625">IF(O584=R584,$S$3,$T$3)</f>
        <v>×</v>
      </c>
      <c r="R584" s="23" t="s">
        <v>287</v>
      </c>
      <c r="U584">
        <v>582</v>
      </c>
      <c r="V584" s="9">
        <v>2</v>
      </c>
      <c r="W584" s="46">
        <f t="shared" ref="W584" si="626">IF(O584=R584,1,0)</f>
        <v>0</v>
      </c>
    </row>
    <row r="585" spans="2:23" ht="40" customHeight="1">
      <c r="B585" s="15"/>
      <c r="C585" s="25" t="s">
        <v>1259</v>
      </c>
      <c r="D585" s="25"/>
      <c r="E585" s="25"/>
      <c r="F585" s="25" t="s">
        <v>1260</v>
      </c>
      <c r="G585" s="25"/>
      <c r="H585" s="25"/>
      <c r="I585" s="25" t="s">
        <v>1261</v>
      </c>
      <c r="J585" s="25"/>
      <c r="K585" s="25"/>
      <c r="L585" s="25" t="s">
        <v>1262</v>
      </c>
      <c r="M585" s="25"/>
      <c r="N585" s="25"/>
      <c r="O585" s="18"/>
      <c r="P585" s="27"/>
      <c r="Q585" s="29"/>
      <c r="R585" s="30"/>
      <c r="U585">
        <v>583</v>
      </c>
      <c r="V585" s="9">
        <v>1</v>
      </c>
      <c r="W585" s="46"/>
    </row>
    <row r="586" spans="2:23" ht="40" customHeight="1">
      <c r="B586" s="14">
        <v>292</v>
      </c>
      <c r="C586" s="16" t="s">
        <v>1263</v>
      </c>
      <c r="D586" s="16"/>
      <c r="E586" s="16"/>
      <c r="F586" s="16"/>
      <c r="G586" s="16"/>
      <c r="H586" s="16"/>
      <c r="I586" s="16"/>
      <c r="J586" s="16"/>
      <c r="K586" s="16"/>
      <c r="L586" s="16"/>
      <c r="M586" s="16"/>
      <c r="N586" s="16"/>
      <c r="O586" s="17"/>
      <c r="P586" s="19" t="str">
        <f t="shared" si="608"/>
        <v>×</v>
      </c>
      <c r="Q586" s="28" t="str">
        <f t="shared" ref="Q586" si="627">IF(O586=R586,$S$3,$T$3)</f>
        <v>×</v>
      </c>
      <c r="R586" s="23" t="s">
        <v>288</v>
      </c>
      <c r="U586">
        <v>584</v>
      </c>
      <c r="V586" s="9">
        <v>2</v>
      </c>
      <c r="W586" s="46">
        <f t="shared" ref="W586" si="628">IF(O586=R586,1,0)</f>
        <v>0</v>
      </c>
    </row>
    <row r="587" spans="2:23" ht="40" customHeight="1">
      <c r="B587" s="15"/>
      <c r="C587" s="25" t="s">
        <v>1264</v>
      </c>
      <c r="D587" s="25"/>
      <c r="E587" s="25"/>
      <c r="F587" s="25" t="s">
        <v>1265</v>
      </c>
      <c r="G587" s="25"/>
      <c r="H587" s="25"/>
      <c r="I587" s="25" t="s">
        <v>1266</v>
      </c>
      <c r="J587" s="25"/>
      <c r="K587" s="25"/>
      <c r="L587" s="25" t="s">
        <v>1267</v>
      </c>
      <c r="M587" s="25"/>
      <c r="N587" s="25"/>
      <c r="O587" s="18"/>
      <c r="P587" s="27"/>
      <c r="Q587" s="29"/>
      <c r="R587" s="30"/>
      <c r="U587">
        <v>585</v>
      </c>
      <c r="V587" s="9">
        <v>1</v>
      </c>
      <c r="W587" s="46"/>
    </row>
    <row r="588" spans="2:23" ht="40" customHeight="1">
      <c r="B588" s="14">
        <v>293</v>
      </c>
      <c r="C588" s="16" t="s">
        <v>1268</v>
      </c>
      <c r="D588" s="16"/>
      <c r="E588" s="16"/>
      <c r="F588" s="16"/>
      <c r="G588" s="16"/>
      <c r="H588" s="16"/>
      <c r="I588" s="16"/>
      <c r="J588" s="16"/>
      <c r="K588" s="16"/>
      <c r="L588" s="16"/>
      <c r="M588" s="16"/>
      <c r="N588" s="16"/>
      <c r="O588" s="17"/>
      <c r="P588" s="19" t="str">
        <f t="shared" si="608"/>
        <v>×</v>
      </c>
      <c r="Q588" s="28" t="str">
        <f t="shared" ref="Q588" si="629">IF(O588=R588,$S$3,$T$3)</f>
        <v>×</v>
      </c>
      <c r="R588" s="23" t="s">
        <v>290</v>
      </c>
      <c r="U588">
        <v>586</v>
      </c>
      <c r="V588" s="9">
        <v>2</v>
      </c>
      <c r="W588" s="46">
        <f t="shared" ref="W588" si="630">IF(O588=R588,1,0)</f>
        <v>0</v>
      </c>
    </row>
    <row r="589" spans="2:23" ht="40" customHeight="1">
      <c r="B589" s="15"/>
      <c r="C589" s="25" t="s">
        <v>1269</v>
      </c>
      <c r="D589" s="25"/>
      <c r="E589" s="25"/>
      <c r="F589" s="25" t="s">
        <v>1270</v>
      </c>
      <c r="G589" s="25"/>
      <c r="H589" s="25"/>
      <c r="I589" s="25" t="s">
        <v>1271</v>
      </c>
      <c r="J589" s="25"/>
      <c r="K589" s="25"/>
      <c r="L589" s="25" t="s">
        <v>1272</v>
      </c>
      <c r="M589" s="25"/>
      <c r="N589" s="25"/>
      <c r="O589" s="18"/>
      <c r="P589" s="27"/>
      <c r="Q589" s="29"/>
      <c r="R589" s="30"/>
      <c r="U589">
        <v>587</v>
      </c>
      <c r="V589" s="9">
        <v>1</v>
      </c>
      <c r="W589" s="46"/>
    </row>
    <row r="590" spans="2:23" ht="40" customHeight="1">
      <c r="B590" s="14">
        <v>294</v>
      </c>
      <c r="C590" s="16" t="s">
        <v>1273</v>
      </c>
      <c r="D590" s="16"/>
      <c r="E590" s="16"/>
      <c r="F590" s="16"/>
      <c r="G590" s="16"/>
      <c r="H590" s="16"/>
      <c r="I590" s="16"/>
      <c r="J590" s="16"/>
      <c r="K590" s="16"/>
      <c r="L590" s="16"/>
      <c r="M590" s="16"/>
      <c r="N590" s="16"/>
      <c r="O590" s="17"/>
      <c r="P590" s="19" t="str">
        <f t="shared" si="608"/>
        <v>×</v>
      </c>
      <c r="Q590" s="28" t="str">
        <f t="shared" ref="Q590" si="631">IF(O590=R590,$S$3,$T$3)</f>
        <v>×</v>
      </c>
      <c r="R590" s="23" t="s">
        <v>289</v>
      </c>
      <c r="U590">
        <v>588</v>
      </c>
      <c r="V590" s="9">
        <v>2</v>
      </c>
      <c r="W590" s="46">
        <f t="shared" ref="W590" si="632">IF(O590=R590,1,0)</f>
        <v>0</v>
      </c>
    </row>
    <row r="591" spans="2:23" ht="40" customHeight="1">
      <c r="B591" s="15"/>
      <c r="C591" s="25" t="s">
        <v>1274</v>
      </c>
      <c r="D591" s="25"/>
      <c r="E591" s="25"/>
      <c r="F591" s="25" t="s">
        <v>1275</v>
      </c>
      <c r="G591" s="25"/>
      <c r="H591" s="25"/>
      <c r="I591" s="25" t="s">
        <v>1276</v>
      </c>
      <c r="J591" s="25"/>
      <c r="K591" s="25"/>
      <c r="L591" s="25" t="s">
        <v>1277</v>
      </c>
      <c r="M591" s="25"/>
      <c r="N591" s="25"/>
      <c r="O591" s="18"/>
      <c r="P591" s="27"/>
      <c r="Q591" s="29"/>
      <c r="R591" s="30"/>
      <c r="U591">
        <v>589</v>
      </c>
      <c r="V591" s="9">
        <v>1</v>
      </c>
      <c r="W591" s="46"/>
    </row>
    <row r="592" spans="2:23" ht="40" customHeight="1">
      <c r="B592" s="14">
        <v>295</v>
      </c>
      <c r="C592" s="16" t="s">
        <v>1278</v>
      </c>
      <c r="D592" s="16"/>
      <c r="E592" s="16"/>
      <c r="F592" s="16"/>
      <c r="G592" s="16"/>
      <c r="H592" s="16"/>
      <c r="I592" s="16"/>
      <c r="J592" s="16"/>
      <c r="K592" s="16"/>
      <c r="L592" s="16"/>
      <c r="M592" s="16"/>
      <c r="N592" s="16"/>
      <c r="O592" s="17"/>
      <c r="P592" s="19" t="str">
        <f t="shared" si="608"/>
        <v>×</v>
      </c>
      <c r="Q592" s="28" t="str">
        <f t="shared" ref="Q592" si="633">IF(O592=R592,$S$3,$T$3)</f>
        <v>×</v>
      </c>
      <c r="R592" s="23" t="s">
        <v>288</v>
      </c>
      <c r="U592">
        <v>590</v>
      </c>
      <c r="V592" s="9">
        <v>2</v>
      </c>
      <c r="W592" s="46">
        <f t="shared" ref="W592" si="634">IF(O592=R592,1,0)</f>
        <v>0</v>
      </c>
    </row>
    <row r="593" spans="2:23" ht="40" customHeight="1">
      <c r="B593" s="15"/>
      <c r="C593" s="25" t="s">
        <v>1279</v>
      </c>
      <c r="D593" s="25"/>
      <c r="E593" s="25"/>
      <c r="F593" s="25" t="s">
        <v>1280</v>
      </c>
      <c r="G593" s="25"/>
      <c r="H593" s="25"/>
      <c r="I593" s="25" t="s">
        <v>1281</v>
      </c>
      <c r="J593" s="25"/>
      <c r="K593" s="25"/>
      <c r="L593" s="25" t="s">
        <v>1282</v>
      </c>
      <c r="M593" s="25"/>
      <c r="N593" s="25"/>
      <c r="O593" s="18"/>
      <c r="P593" s="27"/>
      <c r="Q593" s="29"/>
      <c r="R593" s="30"/>
      <c r="U593">
        <v>591</v>
      </c>
      <c r="V593" s="9">
        <v>1</v>
      </c>
      <c r="W593" s="46"/>
    </row>
    <row r="594" spans="2:23" ht="40" customHeight="1">
      <c r="B594" s="14">
        <v>296</v>
      </c>
      <c r="C594" s="16" t="s">
        <v>1283</v>
      </c>
      <c r="D594" s="16"/>
      <c r="E594" s="16"/>
      <c r="F594" s="16"/>
      <c r="G594" s="16"/>
      <c r="H594" s="16"/>
      <c r="I594" s="16"/>
      <c r="J594" s="16"/>
      <c r="K594" s="16"/>
      <c r="L594" s="16"/>
      <c r="M594" s="16"/>
      <c r="N594" s="16"/>
      <c r="O594" s="17"/>
      <c r="P594" s="19" t="str">
        <f t="shared" si="608"/>
        <v>×</v>
      </c>
      <c r="Q594" s="28" t="str">
        <f t="shared" ref="Q594" si="635">IF(O594=R594,$S$3,$T$3)</f>
        <v>×</v>
      </c>
      <c r="R594" s="23" t="s">
        <v>289</v>
      </c>
      <c r="U594">
        <v>592</v>
      </c>
      <c r="V594" s="9">
        <v>2</v>
      </c>
      <c r="W594" s="46">
        <f t="shared" ref="W594" si="636">IF(O594=R594,1,0)</f>
        <v>0</v>
      </c>
    </row>
    <row r="595" spans="2:23" ht="40" customHeight="1">
      <c r="B595" s="15"/>
      <c r="C595" s="25" t="s">
        <v>1284</v>
      </c>
      <c r="D595" s="25"/>
      <c r="E595" s="25"/>
      <c r="F595" s="25" t="s">
        <v>1285</v>
      </c>
      <c r="G595" s="25"/>
      <c r="H595" s="25"/>
      <c r="I595" s="25" t="s">
        <v>1286</v>
      </c>
      <c r="J595" s="25"/>
      <c r="K595" s="25"/>
      <c r="L595" s="25" t="s">
        <v>1287</v>
      </c>
      <c r="M595" s="25"/>
      <c r="N595" s="25"/>
      <c r="O595" s="18"/>
      <c r="P595" s="27"/>
      <c r="Q595" s="29"/>
      <c r="R595" s="30"/>
      <c r="U595">
        <v>593</v>
      </c>
      <c r="V595" s="9">
        <v>1</v>
      </c>
      <c r="W595" s="46"/>
    </row>
    <row r="596" spans="2:23" ht="40" customHeight="1">
      <c r="B596" s="14">
        <v>297</v>
      </c>
      <c r="C596" s="16" t="s">
        <v>1288</v>
      </c>
      <c r="D596" s="16"/>
      <c r="E596" s="16"/>
      <c r="F596" s="16"/>
      <c r="G596" s="16"/>
      <c r="H596" s="16"/>
      <c r="I596" s="16"/>
      <c r="J596" s="16"/>
      <c r="K596" s="16"/>
      <c r="L596" s="16"/>
      <c r="M596" s="16"/>
      <c r="N596" s="16"/>
      <c r="O596" s="17"/>
      <c r="P596" s="19" t="str">
        <f t="shared" si="608"/>
        <v>×</v>
      </c>
      <c r="Q596" s="28" t="str">
        <f t="shared" ref="Q596" si="637">IF(O596=R596,$S$3,$T$3)</f>
        <v>×</v>
      </c>
      <c r="R596" s="23" t="s">
        <v>290</v>
      </c>
      <c r="U596">
        <v>594</v>
      </c>
      <c r="V596" s="9">
        <v>2</v>
      </c>
      <c r="W596" s="46">
        <f t="shared" ref="W596" si="638">IF(O596=R596,1,0)</f>
        <v>0</v>
      </c>
    </row>
    <row r="597" spans="2:23" ht="40" customHeight="1">
      <c r="B597" s="15"/>
      <c r="C597" s="25" t="s">
        <v>1289</v>
      </c>
      <c r="D597" s="25"/>
      <c r="E597" s="25"/>
      <c r="F597" s="25" t="s">
        <v>1290</v>
      </c>
      <c r="G597" s="25"/>
      <c r="H597" s="25"/>
      <c r="I597" s="25" t="s">
        <v>1291</v>
      </c>
      <c r="J597" s="25"/>
      <c r="K597" s="25"/>
      <c r="L597" s="25" t="s">
        <v>1292</v>
      </c>
      <c r="M597" s="25"/>
      <c r="N597" s="25"/>
      <c r="O597" s="18"/>
      <c r="P597" s="27"/>
      <c r="Q597" s="29"/>
      <c r="R597" s="30"/>
      <c r="U597">
        <v>595</v>
      </c>
      <c r="V597" s="9">
        <v>1</v>
      </c>
      <c r="W597" s="46"/>
    </row>
    <row r="598" spans="2:23" ht="40" customHeight="1">
      <c r="B598" s="14">
        <v>298</v>
      </c>
      <c r="C598" s="16" t="s">
        <v>1293</v>
      </c>
      <c r="D598" s="16"/>
      <c r="E598" s="16"/>
      <c r="F598" s="16"/>
      <c r="G598" s="16"/>
      <c r="H598" s="16"/>
      <c r="I598" s="16"/>
      <c r="J598" s="16"/>
      <c r="K598" s="16"/>
      <c r="L598" s="16"/>
      <c r="M598" s="16"/>
      <c r="N598" s="16"/>
      <c r="O598" s="17"/>
      <c r="P598" s="19" t="str">
        <f t="shared" si="608"/>
        <v>×</v>
      </c>
      <c r="Q598" s="28" t="str">
        <f t="shared" ref="Q598" si="639">IF(O598=R598,$S$3,$T$3)</f>
        <v>×</v>
      </c>
      <c r="R598" s="23" t="s">
        <v>288</v>
      </c>
      <c r="U598">
        <v>596</v>
      </c>
      <c r="V598" s="9">
        <v>2</v>
      </c>
      <c r="W598" s="46">
        <f t="shared" ref="W598" si="640">IF(O598=R598,1,0)</f>
        <v>0</v>
      </c>
    </row>
    <row r="599" spans="2:23" ht="40" customHeight="1">
      <c r="B599" s="15"/>
      <c r="C599" s="25" t="s">
        <v>1294</v>
      </c>
      <c r="D599" s="25"/>
      <c r="E599" s="25"/>
      <c r="F599" s="25" t="s">
        <v>1295</v>
      </c>
      <c r="G599" s="25"/>
      <c r="H599" s="25"/>
      <c r="I599" s="25" t="s">
        <v>1296</v>
      </c>
      <c r="J599" s="25"/>
      <c r="K599" s="25"/>
      <c r="L599" s="25" t="s">
        <v>1297</v>
      </c>
      <c r="M599" s="25"/>
      <c r="N599" s="25"/>
      <c r="O599" s="18"/>
      <c r="P599" s="27"/>
      <c r="Q599" s="29"/>
      <c r="R599" s="30"/>
      <c r="U599">
        <v>597</v>
      </c>
      <c r="V599" s="9">
        <v>1</v>
      </c>
      <c r="W599" s="46"/>
    </row>
    <row r="600" spans="2:23" ht="40" customHeight="1">
      <c r="B600" s="14">
        <v>299</v>
      </c>
      <c r="C600" s="47" t="s">
        <v>320</v>
      </c>
      <c r="D600" s="48"/>
      <c r="E600" s="48"/>
      <c r="F600" s="48"/>
      <c r="G600" s="48"/>
      <c r="H600" s="48"/>
      <c r="I600" s="48"/>
      <c r="J600" s="48"/>
      <c r="K600" s="48"/>
      <c r="L600" s="48"/>
      <c r="M600" s="48"/>
      <c r="N600" s="49"/>
      <c r="O600" s="17"/>
      <c r="P600" s="19"/>
      <c r="Q600" s="28"/>
      <c r="R600" s="23"/>
      <c r="U600">
        <v>598</v>
      </c>
      <c r="V600" s="9">
        <v>2</v>
      </c>
      <c r="W600" s="46"/>
    </row>
    <row r="601" spans="2:23" ht="40" customHeight="1">
      <c r="B601" s="15"/>
      <c r="C601" s="50"/>
      <c r="D601" s="51"/>
      <c r="E601" s="51"/>
      <c r="F601" s="51"/>
      <c r="G601" s="51"/>
      <c r="H601" s="51"/>
      <c r="I601" s="51"/>
      <c r="J601" s="51"/>
      <c r="K601" s="51"/>
      <c r="L601" s="51"/>
      <c r="M601" s="51"/>
      <c r="N601" s="52"/>
      <c r="O601" s="18"/>
      <c r="P601" s="27"/>
      <c r="Q601" s="29"/>
      <c r="R601" s="30"/>
      <c r="U601">
        <v>599</v>
      </c>
      <c r="V601" s="9">
        <v>1</v>
      </c>
      <c r="W601" s="46"/>
    </row>
    <row r="602" spans="2:23" ht="40" customHeight="1">
      <c r="B602" s="14">
        <v>300</v>
      </c>
      <c r="C602" s="16" t="s">
        <v>1307</v>
      </c>
      <c r="D602" s="16"/>
      <c r="E602" s="16"/>
      <c r="F602" s="16"/>
      <c r="G602" s="16"/>
      <c r="H602" s="16"/>
      <c r="I602" s="16"/>
      <c r="J602" s="16"/>
      <c r="K602" s="16"/>
      <c r="L602" s="16"/>
      <c r="M602" s="16"/>
      <c r="N602" s="16"/>
      <c r="O602" s="17"/>
      <c r="P602" s="19" t="str">
        <f t="shared" si="608"/>
        <v>×</v>
      </c>
      <c r="Q602" s="28" t="str">
        <f t="shared" ref="Q602" si="641">IF(O602=R602,$S$3,$T$3)</f>
        <v>×</v>
      </c>
      <c r="R602" s="23" t="s">
        <v>289</v>
      </c>
      <c r="U602">
        <v>600</v>
      </c>
      <c r="V602" s="9">
        <v>2</v>
      </c>
      <c r="W602" s="46">
        <f t="shared" ref="W602" si="642">IF(O602=R602,1,0)</f>
        <v>0</v>
      </c>
    </row>
    <row r="603" spans="2:23" ht="40" customHeight="1">
      <c r="B603" s="15"/>
      <c r="C603" s="25" t="s">
        <v>1308</v>
      </c>
      <c r="D603" s="25"/>
      <c r="E603" s="25"/>
      <c r="F603" s="25" t="s">
        <v>1309</v>
      </c>
      <c r="G603" s="25"/>
      <c r="H603" s="25"/>
      <c r="I603" s="25" t="s">
        <v>1310</v>
      </c>
      <c r="J603" s="25"/>
      <c r="K603" s="25"/>
      <c r="L603" s="25" t="s">
        <v>1311</v>
      </c>
      <c r="M603" s="25"/>
      <c r="N603" s="25"/>
      <c r="O603" s="18"/>
      <c r="P603" s="27"/>
      <c r="Q603" s="29"/>
      <c r="R603" s="30"/>
      <c r="U603">
        <v>601</v>
      </c>
      <c r="V603" s="9">
        <v>1</v>
      </c>
      <c r="W603" s="46"/>
    </row>
    <row r="604" spans="2:23" ht="40" customHeight="1">
      <c r="B604" s="14">
        <v>301</v>
      </c>
      <c r="C604" s="16" t="s">
        <v>1312</v>
      </c>
      <c r="D604" s="16"/>
      <c r="E604" s="16"/>
      <c r="F604" s="16"/>
      <c r="G604" s="16"/>
      <c r="H604" s="16"/>
      <c r="I604" s="16"/>
      <c r="J604" s="16"/>
      <c r="K604" s="16"/>
      <c r="L604" s="16"/>
      <c r="M604" s="16"/>
      <c r="N604" s="16"/>
      <c r="O604" s="17"/>
      <c r="P604" s="19" t="str">
        <f t="shared" si="608"/>
        <v>×</v>
      </c>
      <c r="Q604" s="28" t="str">
        <f t="shared" ref="Q604" si="643">IF(O604=R604,$S$3,$T$3)</f>
        <v>×</v>
      </c>
      <c r="R604" s="23" t="s">
        <v>290</v>
      </c>
      <c r="U604">
        <v>602</v>
      </c>
      <c r="V604" s="9">
        <v>2</v>
      </c>
      <c r="W604" s="46">
        <f t="shared" ref="W604" si="644">IF(O604=R604,1,0)</f>
        <v>0</v>
      </c>
    </row>
    <row r="605" spans="2:23" ht="40" customHeight="1">
      <c r="B605" s="15"/>
      <c r="C605" s="25" t="s">
        <v>1313</v>
      </c>
      <c r="D605" s="25"/>
      <c r="E605" s="25"/>
      <c r="F605" s="25" t="s">
        <v>1314</v>
      </c>
      <c r="G605" s="25"/>
      <c r="H605" s="25"/>
      <c r="I605" s="25" t="s">
        <v>1315</v>
      </c>
      <c r="J605" s="25"/>
      <c r="K605" s="25"/>
      <c r="L605" s="25" t="s">
        <v>1316</v>
      </c>
      <c r="M605" s="25"/>
      <c r="N605" s="25"/>
      <c r="O605" s="18"/>
      <c r="P605" s="27"/>
      <c r="Q605" s="29"/>
      <c r="R605" s="30"/>
      <c r="U605">
        <v>603</v>
      </c>
      <c r="V605" s="9">
        <v>1</v>
      </c>
      <c r="W605" s="46"/>
    </row>
    <row r="606" spans="2:23" ht="40" customHeight="1">
      <c r="B606" s="14">
        <v>302</v>
      </c>
      <c r="C606" s="16" t="s">
        <v>1317</v>
      </c>
      <c r="D606" s="16"/>
      <c r="E606" s="16"/>
      <c r="F606" s="16"/>
      <c r="G606" s="16"/>
      <c r="H606" s="16"/>
      <c r="I606" s="16"/>
      <c r="J606" s="16"/>
      <c r="K606" s="16"/>
      <c r="L606" s="16"/>
      <c r="M606" s="16"/>
      <c r="N606" s="16"/>
      <c r="O606" s="17"/>
      <c r="P606" s="19" t="str">
        <f t="shared" si="608"/>
        <v>×</v>
      </c>
      <c r="Q606" s="28" t="str">
        <f t="shared" ref="Q606" si="645">IF(O606=R606,$S$3,$T$3)</f>
        <v>×</v>
      </c>
      <c r="R606" s="23" t="s">
        <v>287</v>
      </c>
      <c r="U606">
        <v>604</v>
      </c>
      <c r="V606" s="9">
        <v>2</v>
      </c>
      <c r="W606" s="46">
        <f t="shared" ref="W606" si="646">IF(O606=R606,1,0)</f>
        <v>0</v>
      </c>
    </row>
    <row r="607" spans="2:23" ht="40" customHeight="1">
      <c r="B607" s="15"/>
      <c r="C607" s="25" t="s">
        <v>1318</v>
      </c>
      <c r="D607" s="25"/>
      <c r="E607" s="25"/>
      <c r="F607" s="25" t="s">
        <v>940</v>
      </c>
      <c r="G607" s="25"/>
      <c r="H607" s="25"/>
      <c r="I607" s="25" t="s">
        <v>1319</v>
      </c>
      <c r="J607" s="25"/>
      <c r="K607" s="25"/>
      <c r="L607" s="25" t="s">
        <v>1320</v>
      </c>
      <c r="M607" s="25"/>
      <c r="N607" s="25"/>
      <c r="O607" s="18"/>
      <c r="P607" s="27"/>
      <c r="Q607" s="29"/>
      <c r="R607" s="30"/>
      <c r="U607">
        <v>605</v>
      </c>
      <c r="V607" s="9">
        <v>1</v>
      </c>
      <c r="W607" s="46"/>
    </row>
    <row r="608" spans="2:23" ht="40" customHeight="1">
      <c r="B608" s="14">
        <v>303</v>
      </c>
      <c r="C608" s="16" t="s">
        <v>1321</v>
      </c>
      <c r="D608" s="16"/>
      <c r="E608" s="16"/>
      <c r="F608" s="16"/>
      <c r="G608" s="16"/>
      <c r="H608" s="16"/>
      <c r="I608" s="16"/>
      <c r="J608" s="16"/>
      <c r="K608" s="16"/>
      <c r="L608" s="16"/>
      <c r="M608" s="16"/>
      <c r="N608" s="16"/>
      <c r="O608" s="17"/>
      <c r="P608" s="19" t="str">
        <f t="shared" si="608"/>
        <v>×</v>
      </c>
      <c r="Q608" s="28" t="str">
        <f t="shared" ref="Q608" si="647">IF(O608=R608,$S$3,$T$3)</f>
        <v>×</v>
      </c>
      <c r="R608" s="23" t="s">
        <v>290</v>
      </c>
      <c r="U608">
        <v>606</v>
      </c>
      <c r="V608" s="9">
        <v>2</v>
      </c>
      <c r="W608" s="46">
        <f t="shared" ref="W608" si="648">IF(O608=R608,1,0)</f>
        <v>0</v>
      </c>
    </row>
    <row r="609" spans="2:23" ht="40" customHeight="1">
      <c r="B609" s="15"/>
      <c r="C609" s="25" t="s">
        <v>1322</v>
      </c>
      <c r="D609" s="25"/>
      <c r="E609" s="25"/>
      <c r="F609" s="25" t="s">
        <v>1323</v>
      </c>
      <c r="G609" s="25"/>
      <c r="H609" s="25"/>
      <c r="I609" s="25" t="s">
        <v>1324</v>
      </c>
      <c r="J609" s="25"/>
      <c r="K609" s="25"/>
      <c r="L609" s="25" t="s">
        <v>950</v>
      </c>
      <c r="M609" s="25"/>
      <c r="N609" s="25"/>
      <c r="O609" s="18"/>
      <c r="P609" s="27"/>
      <c r="Q609" s="29"/>
      <c r="R609" s="30"/>
      <c r="U609">
        <v>607</v>
      </c>
      <c r="V609" s="9">
        <v>1</v>
      </c>
      <c r="W609" s="46"/>
    </row>
    <row r="610" spans="2:23" ht="40" customHeight="1">
      <c r="B610" s="14">
        <v>304</v>
      </c>
      <c r="C610" s="16" t="s">
        <v>1325</v>
      </c>
      <c r="D610" s="16"/>
      <c r="E610" s="16"/>
      <c r="F610" s="16"/>
      <c r="G610" s="16"/>
      <c r="H610" s="16"/>
      <c r="I610" s="16"/>
      <c r="J610" s="16"/>
      <c r="K610" s="16"/>
      <c r="L610" s="16"/>
      <c r="M610" s="16"/>
      <c r="N610" s="16"/>
      <c r="O610" s="17"/>
      <c r="P610" s="19" t="str">
        <f t="shared" si="608"/>
        <v>×</v>
      </c>
      <c r="Q610" s="28" t="str">
        <f t="shared" ref="Q610" si="649">IF(O610=R610,$S$3,$T$3)</f>
        <v>×</v>
      </c>
      <c r="R610" s="23" t="s">
        <v>289</v>
      </c>
      <c r="U610">
        <v>608</v>
      </c>
      <c r="V610" s="9">
        <v>2</v>
      </c>
      <c r="W610" s="46">
        <f t="shared" ref="W610" si="650">IF(O610=R610,1,0)</f>
        <v>0</v>
      </c>
    </row>
    <row r="611" spans="2:23" ht="40" customHeight="1">
      <c r="B611" s="15"/>
      <c r="C611" s="25" t="s">
        <v>1326</v>
      </c>
      <c r="D611" s="25"/>
      <c r="E611" s="25"/>
      <c r="F611" s="25" t="s">
        <v>1327</v>
      </c>
      <c r="G611" s="25"/>
      <c r="H611" s="25"/>
      <c r="I611" s="25" t="s">
        <v>1328</v>
      </c>
      <c r="J611" s="25"/>
      <c r="K611" s="25"/>
      <c r="L611" s="25" t="s">
        <v>1329</v>
      </c>
      <c r="M611" s="25"/>
      <c r="N611" s="25"/>
      <c r="O611" s="18"/>
      <c r="P611" s="27"/>
      <c r="Q611" s="29"/>
      <c r="R611" s="30"/>
      <c r="U611">
        <v>609</v>
      </c>
      <c r="V611" s="9">
        <v>1</v>
      </c>
      <c r="W611" s="46"/>
    </row>
    <row r="612" spans="2:23" ht="40" customHeight="1">
      <c r="B612" s="14">
        <v>305</v>
      </c>
      <c r="C612" s="16" t="s">
        <v>1330</v>
      </c>
      <c r="D612" s="16"/>
      <c r="E612" s="16"/>
      <c r="F612" s="16"/>
      <c r="G612" s="16"/>
      <c r="H612" s="16"/>
      <c r="I612" s="16"/>
      <c r="J612" s="16"/>
      <c r="K612" s="16"/>
      <c r="L612" s="16"/>
      <c r="M612" s="16"/>
      <c r="N612" s="16"/>
      <c r="O612" s="17"/>
      <c r="P612" s="19" t="str">
        <f t="shared" si="608"/>
        <v>×</v>
      </c>
      <c r="Q612" s="28" t="str">
        <f t="shared" ref="Q612" si="651">IF(O612=R612,$S$3,$T$3)</f>
        <v>×</v>
      </c>
      <c r="R612" s="23" t="s">
        <v>288</v>
      </c>
      <c r="U612">
        <v>610</v>
      </c>
      <c r="V612" s="9">
        <v>2</v>
      </c>
      <c r="W612" s="46">
        <f t="shared" ref="W612" si="652">IF(O612=R612,1,0)</f>
        <v>0</v>
      </c>
    </row>
    <row r="613" spans="2:23" ht="40" customHeight="1">
      <c r="B613" s="15"/>
      <c r="C613" s="25" t="s">
        <v>1331</v>
      </c>
      <c r="D613" s="25"/>
      <c r="E613" s="25"/>
      <c r="F613" s="25" t="s">
        <v>1332</v>
      </c>
      <c r="G613" s="25"/>
      <c r="H613" s="25"/>
      <c r="I613" s="25" t="s">
        <v>1333</v>
      </c>
      <c r="J613" s="25"/>
      <c r="K613" s="25"/>
      <c r="L613" s="25" t="s">
        <v>1334</v>
      </c>
      <c r="M613" s="25"/>
      <c r="N613" s="25"/>
      <c r="O613" s="18"/>
      <c r="P613" s="27"/>
      <c r="Q613" s="29"/>
      <c r="R613" s="30"/>
      <c r="U613">
        <v>611</v>
      </c>
      <c r="V613" s="9">
        <v>1</v>
      </c>
      <c r="W613" s="46"/>
    </row>
    <row r="614" spans="2:23" ht="40" customHeight="1">
      <c r="B614" s="14">
        <v>306</v>
      </c>
      <c r="C614" s="40" t="s">
        <v>1400</v>
      </c>
      <c r="D614" s="16"/>
      <c r="E614" s="16"/>
      <c r="F614" s="16"/>
      <c r="G614" s="16"/>
      <c r="H614" s="16"/>
      <c r="I614" s="16"/>
      <c r="J614" s="16"/>
      <c r="K614" s="16"/>
      <c r="L614" s="16"/>
      <c r="M614" s="16"/>
      <c r="N614" s="16"/>
      <c r="O614" s="17"/>
      <c r="P614" s="19" t="str">
        <f t="shared" si="608"/>
        <v>×</v>
      </c>
      <c r="Q614" s="28" t="str">
        <f t="shared" ref="Q614" si="653">IF(O614=R614,$S$3,$T$3)</f>
        <v>×</v>
      </c>
      <c r="R614" s="23" t="s">
        <v>288</v>
      </c>
      <c r="U614">
        <v>612</v>
      </c>
      <c r="V614" s="9">
        <v>2</v>
      </c>
      <c r="W614" s="46">
        <f t="shared" ref="W614" si="654">IF(O614=R614,1,0)</f>
        <v>0</v>
      </c>
    </row>
    <row r="615" spans="2:23" ht="40" customHeight="1">
      <c r="B615" s="15"/>
      <c r="C615" s="25" t="s">
        <v>1050</v>
      </c>
      <c r="D615" s="25"/>
      <c r="E615" s="25"/>
      <c r="F615" s="25" t="s">
        <v>1335</v>
      </c>
      <c r="G615" s="25"/>
      <c r="H615" s="25"/>
      <c r="I615" s="25" t="s">
        <v>1336</v>
      </c>
      <c r="J615" s="25"/>
      <c r="K615" s="25"/>
      <c r="L615" s="25" t="s">
        <v>1337</v>
      </c>
      <c r="M615" s="25"/>
      <c r="N615" s="25"/>
      <c r="O615" s="18"/>
      <c r="P615" s="27"/>
      <c r="Q615" s="29"/>
      <c r="R615" s="30"/>
      <c r="U615">
        <v>613</v>
      </c>
      <c r="V615" s="9">
        <v>1</v>
      </c>
      <c r="W615" s="46"/>
    </row>
    <row r="616" spans="2:23" ht="40" customHeight="1">
      <c r="B616" s="14">
        <v>307</v>
      </c>
      <c r="C616" s="16" t="s">
        <v>1338</v>
      </c>
      <c r="D616" s="16"/>
      <c r="E616" s="16"/>
      <c r="F616" s="16"/>
      <c r="G616" s="16"/>
      <c r="H616" s="16"/>
      <c r="I616" s="16"/>
      <c r="J616" s="16"/>
      <c r="K616" s="16"/>
      <c r="L616" s="16"/>
      <c r="M616" s="16"/>
      <c r="N616" s="16"/>
      <c r="O616" s="17"/>
      <c r="P616" s="19" t="str">
        <f t="shared" si="608"/>
        <v>×</v>
      </c>
      <c r="Q616" s="28" t="str">
        <f t="shared" ref="Q616" si="655">IF(O616=R616,$S$3,$T$3)</f>
        <v>×</v>
      </c>
      <c r="R616" s="23" t="s">
        <v>287</v>
      </c>
      <c r="U616">
        <v>614</v>
      </c>
      <c r="V616" s="9">
        <v>2</v>
      </c>
      <c r="W616" s="46">
        <f t="shared" ref="W616" si="656">IF(O616=R616,1,0)</f>
        <v>0</v>
      </c>
    </row>
    <row r="617" spans="2:23" ht="40" customHeight="1">
      <c r="B617" s="15"/>
      <c r="C617" s="25" t="s">
        <v>1339</v>
      </c>
      <c r="D617" s="25"/>
      <c r="E617" s="25"/>
      <c r="F617" s="25" t="s">
        <v>1340</v>
      </c>
      <c r="G617" s="25"/>
      <c r="H617" s="25"/>
      <c r="I617" s="25" t="s">
        <v>1341</v>
      </c>
      <c r="J617" s="25"/>
      <c r="K617" s="25"/>
      <c r="L617" s="25" t="s">
        <v>1342</v>
      </c>
      <c r="M617" s="25"/>
      <c r="N617" s="25"/>
      <c r="O617" s="18"/>
      <c r="P617" s="27"/>
      <c r="Q617" s="29"/>
      <c r="R617" s="30"/>
      <c r="U617">
        <v>615</v>
      </c>
      <c r="V617" s="9">
        <v>1</v>
      </c>
      <c r="W617" s="46"/>
    </row>
    <row r="618" spans="2:23" ht="40" customHeight="1">
      <c r="B618" s="14">
        <v>308</v>
      </c>
      <c r="C618" s="16" t="s">
        <v>1343</v>
      </c>
      <c r="D618" s="16"/>
      <c r="E618" s="16"/>
      <c r="F618" s="16"/>
      <c r="G618" s="16"/>
      <c r="H618" s="16"/>
      <c r="I618" s="16"/>
      <c r="J618" s="16"/>
      <c r="K618" s="16"/>
      <c r="L618" s="16"/>
      <c r="M618" s="16"/>
      <c r="N618" s="16"/>
      <c r="O618" s="17"/>
      <c r="P618" s="19" t="str">
        <f t="shared" si="608"/>
        <v>×</v>
      </c>
      <c r="Q618" s="28" t="str">
        <f t="shared" ref="Q618" si="657">IF(O618=R618,$S$3,$T$3)</f>
        <v>×</v>
      </c>
      <c r="R618" s="23" t="s">
        <v>290</v>
      </c>
      <c r="U618">
        <v>616</v>
      </c>
      <c r="V618" s="9">
        <v>2</v>
      </c>
      <c r="W618" s="46">
        <f t="shared" ref="W618" si="658">IF(O618=R618,1,0)</f>
        <v>0</v>
      </c>
    </row>
    <row r="619" spans="2:23" ht="40" customHeight="1">
      <c r="B619" s="15"/>
      <c r="C619" s="25" t="s">
        <v>1344</v>
      </c>
      <c r="D619" s="25"/>
      <c r="E619" s="25"/>
      <c r="F619" s="25" t="s">
        <v>1345</v>
      </c>
      <c r="G619" s="25"/>
      <c r="H619" s="25"/>
      <c r="I619" s="25" t="s">
        <v>1415</v>
      </c>
      <c r="J619" s="25"/>
      <c r="K619" s="25"/>
      <c r="L619" s="25" t="s">
        <v>1346</v>
      </c>
      <c r="M619" s="25"/>
      <c r="N619" s="25"/>
      <c r="O619" s="18"/>
      <c r="P619" s="27"/>
      <c r="Q619" s="29"/>
      <c r="R619" s="30"/>
      <c r="U619">
        <v>617</v>
      </c>
      <c r="V619" s="9">
        <v>1</v>
      </c>
      <c r="W619" s="46"/>
    </row>
    <row r="620" spans="2:23" ht="40" customHeight="1">
      <c r="B620" s="14">
        <v>309</v>
      </c>
      <c r="C620" s="16" t="s">
        <v>1347</v>
      </c>
      <c r="D620" s="16"/>
      <c r="E620" s="16"/>
      <c r="F620" s="16"/>
      <c r="G620" s="16"/>
      <c r="H620" s="16"/>
      <c r="I620" s="16"/>
      <c r="J620" s="16"/>
      <c r="K620" s="16"/>
      <c r="L620" s="16"/>
      <c r="M620" s="16"/>
      <c r="N620" s="16"/>
      <c r="O620" s="17"/>
      <c r="P620" s="19" t="str">
        <f t="shared" si="608"/>
        <v>×</v>
      </c>
      <c r="Q620" s="28" t="str">
        <f t="shared" ref="Q620" si="659">IF(O620=R620,$S$3,$T$3)</f>
        <v>×</v>
      </c>
      <c r="R620" s="23" t="s">
        <v>287</v>
      </c>
      <c r="U620">
        <v>618</v>
      </c>
      <c r="V620" s="9">
        <v>2</v>
      </c>
      <c r="W620" s="46">
        <f t="shared" ref="W620" si="660">IF(O620=R620,1,0)</f>
        <v>0</v>
      </c>
    </row>
    <row r="621" spans="2:23" ht="40" customHeight="1">
      <c r="B621" s="15"/>
      <c r="C621" s="25" t="s">
        <v>1348</v>
      </c>
      <c r="D621" s="25"/>
      <c r="E621" s="25"/>
      <c r="F621" s="25" t="s">
        <v>1349</v>
      </c>
      <c r="G621" s="25"/>
      <c r="H621" s="25"/>
      <c r="I621" s="25" t="s">
        <v>1350</v>
      </c>
      <c r="J621" s="25"/>
      <c r="K621" s="25"/>
      <c r="L621" s="25" t="s">
        <v>1351</v>
      </c>
      <c r="M621" s="25"/>
      <c r="N621" s="25"/>
      <c r="O621" s="18"/>
      <c r="P621" s="27"/>
      <c r="Q621" s="29"/>
      <c r="R621" s="30"/>
      <c r="U621">
        <v>619</v>
      </c>
      <c r="V621" s="9">
        <v>1</v>
      </c>
      <c r="W621" s="46"/>
    </row>
    <row r="622" spans="2:23" ht="40" customHeight="1">
      <c r="B622" s="14">
        <v>310</v>
      </c>
      <c r="C622" s="40" t="s">
        <v>1352</v>
      </c>
      <c r="D622" s="40"/>
      <c r="E622" s="40"/>
      <c r="F622" s="40"/>
      <c r="G622" s="40"/>
      <c r="H622" s="40"/>
      <c r="I622" s="40"/>
      <c r="J622" s="40"/>
      <c r="K622" s="40"/>
      <c r="L622" s="40"/>
      <c r="M622" s="40"/>
      <c r="N622" s="40"/>
      <c r="O622" s="17"/>
      <c r="P622" s="19" t="str">
        <f t="shared" si="608"/>
        <v>×</v>
      </c>
      <c r="Q622" s="28" t="str">
        <f t="shared" ref="Q622" si="661">IF(O622=R622,$S$3,$T$3)</f>
        <v>×</v>
      </c>
      <c r="R622" s="23" t="s">
        <v>289</v>
      </c>
      <c r="U622">
        <v>620</v>
      </c>
      <c r="V622" s="9">
        <v>2</v>
      </c>
      <c r="W622" s="46">
        <f t="shared" ref="W622" si="662">IF(O622=R622,1,0)</f>
        <v>0</v>
      </c>
    </row>
    <row r="623" spans="2:23" ht="40" customHeight="1">
      <c r="B623" s="15"/>
      <c r="C623" s="25" t="s">
        <v>1353</v>
      </c>
      <c r="D623" s="25"/>
      <c r="E623" s="25"/>
      <c r="F623" s="25" t="s">
        <v>1354</v>
      </c>
      <c r="G623" s="25"/>
      <c r="H623" s="25"/>
      <c r="I623" s="25" t="s">
        <v>1355</v>
      </c>
      <c r="J623" s="25"/>
      <c r="K623" s="25"/>
      <c r="L623" s="25" t="s">
        <v>1356</v>
      </c>
      <c r="M623" s="25"/>
      <c r="N623" s="25"/>
      <c r="O623" s="18"/>
      <c r="P623" s="27"/>
      <c r="Q623" s="29"/>
      <c r="R623" s="30"/>
      <c r="U623">
        <v>621</v>
      </c>
      <c r="V623" s="9">
        <v>1</v>
      </c>
      <c r="W623" s="46"/>
    </row>
    <row r="624" spans="2:23" ht="40" customHeight="1">
      <c r="B624" s="14">
        <v>311</v>
      </c>
      <c r="C624" s="16" t="s">
        <v>1357</v>
      </c>
      <c r="D624" s="16"/>
      <c r="E624" s="16"/>
      <c r="F624" s="16"/>
      <c r="G624" s="16"/>
      <c r="H624" s="16"/>
      <c r="I624" s="16"/>
      <c r="J624" s="16"/>
      <c r="K624" s="16"/>
      <c r="L624" s="16"/>
      <c r="M624" s="16"/>
      <c r="N624" s="16"/>
      <c r="O624" s="17"/>
      <c r="P624" s="19" t="str">
        <f t="shared" si="608"/>
        <v>×</v>
      </c>
      <c r="Q624" s="28" t="str">
        <f t="shared" ref="Q624" si="663">IF(O624=R624,$S$3,$T$3)</f>
        <v>×</v>
      </c>
      <c r="R624" s="23" t="s">
        <v>289</v>
      </c>
      <c r="U624">
        <v>622</v>
      </c>
      <c r="V624" s="9">
        <v>2</v>
      </c>
      <c r="W624" s="46">
        <f t="shared" ref="W624" si="664">IF(O624=R624,1,0)</f>
        <v>0</v>
      </c>
    </row>
    <row r="625" spans="2:23" ht="40" customHeight="1">
      <c r="B625" s="15"/>
      <c r="C625" s="25" t="s">
        <v>1358</v>
      </c>
      <c r="D625" s="25"/>
      <c r="E625" s="25"/>
      <c r="F625" s="25" t="s">
        <v>1359</v>
      </c>
      <c r="G625" s="25"/>
      <c r="H625" s="25"/>
      <c r="I625" s="25" t="s">
        <v>1360</v>
      </c>
      <c r="J625" s="25"/>
      <c r="K625" s="25"/>
      <c r="L625" s="25" t="s">
        <v>1361</v>
      </c>
      <c r="M625" s="25"/>
      <c r="N625" s="25"/>
      <c r="O625" s="18"/>
      <c r="P625" s="27"/>
      <c r="Q625" s="29"/>
      <c r="R625" s="30"/>
      <c r="U625">
        <v>623</v>
      </c>
      <c r="V625" s="9">
        <v>1</v>
      </c>
      <c r="W625" s="46"/>
    </row>
    <row r="626" spans="2:23" ht="40" customHeight="1">
      <c r="B626" s="14">
        <v>312</v>
      </c>
      <c r="C626" s="16" t="s">
        <v>1362</v>
      </c>
      <c r="D626" s="16"/>
      <c r="E626" s="16"/>
      <c r="F626" s="16"/>
      <c r="G626" s="16"/>
      <c r="H626" s="16"/>
      <c r="I626" s="16"/>
      <c r="J626" s="16"/>
      <c r="K626" s="16"/>
      <c r="L626" s="16"/>
      <c r="M626" s="16"/>
      <c r="N626" s="16"/>
      <c r="O626" s="17"/>
      <c r="P626" s="19" t="str">
        <f t="shared" si="608"/>
        <v>×</v>
      </c>
      <c r="Q626" s="28" t="str">
        <f t="shared" ref="Q626" si="665">IF(O626=R626,$S$3,$T$3)</f>
        <v>×</v>
      </c>
      <c r="R626" s="23" t="s">
        <v>287</v>
      </c>
      <c r="U626">
        <v>624</v>
      </c>
      <c r="V626" s="9">
        <v>2</v>
      </c>
      <c r="W626" s="46">
        <f t="shared" ref="W626" si="666">IF(O626=R626,1,0)</f>
        <v>0</v>
      </c>
    </row>
    <row r="627" spans="2:23" ht="40" customHeight="1">
      <c r="B627" s="15"/>
      <c r="C627" s="25" t="s">
        <v>1363</v>
      </c>
      <c r="D627" s="25"/>
      <c r="E627" s="25"/>
      <c r="F627" s="25" t="s">
        <v>973</v>
      </c>
      <c r="G627" s="25"/>
      <c r="H627" s="25"/>
      <c r="I627" s="25" t="s">
        <v>1364</v>
      </c>
      <c r="J627" s="25"/>
      <c r="K627" s="25"/>
      <c r="L627" s="25" t="s">
        <v>1365</v>
      </c>
      <c r="M627" s="25"/>
      <c r="N627" s="25"/>
      <c r="O627" s="18"/>
      <c r="P627" s="27"/>
      <c r="Q627" s="29"/>
      <c r="R627" s="30"/>
      <c r="U627">
        <v>625</v>
      </c>
      <c r="V627" s="9">
        <v>1</v>
      </c>
      <c r="W627" s="46"/>
    </row>
    <row r="628" spans="2:23" ht="40" customHeight="1">
      <c r="B628" s="14">
        <v>313</v>
      </c>
      <c r="C628" s="16" t="s">
        <v>1366</v>
      </c>
      <c r="D628" s="16"/>
      <c r="E628" s="16"/>
      <c r="F628" s="16"/>
      <c r="G628" s="16"/>
      <c r="H628" s="16"/>
      <c r="I628" s="16"/>
      <c r="J628" s="16"/>
      <c r="K628" s="16"/>
      <c r="L628" s="16"/>
      <c r="M628" s="16"/>
      <c r="N628" s="16"/>
      <c r="O628" s="17"/>
      <c r="P628" s="19" t="str">
        <f t="shared" si="608"/>
        <v>×</v>
      </c>
      <c r="Q628" s="28" t="str">
        <f t="shared" ref="Q628" si="667">IF(O628=R628,$S$3,$T$3)</f>
        <v>×</v>
      </c>
      <c r="R628" s="23" t="s">
        <v>287</v>
      </c>
      <c r="U628">
        <v>626</v>
      </c>
      <c r="V628" s="9">
        <v>2</v>
      </c>
      <c r="W628" s="46">
        <f t="shared" ref="W628" si="668">IF(O628=R628,1,0)</f>
        <v>0</v>
      </c>
    </row>
    <row r="629" spans="2:23" ht="40" customHeight="1">
      <c r="B629" s="15"/>
      <c r="C629" s="25" t="s">
        <v>1367</v>
      </c>
      <c r="D629" s="25"/>
      <c r="E629" s="25"/>
      <c r="F629" s="25" t="s">
        <v>1368</v>
      </c>
      <c r="G629" s="25"/>
      <c r="H629" s="25"/>
      <c r="I629" s="25" t="s">
        <v>1369</v>
      </c>
      <c r="J629" s="25"/>
      <c r="K629" s="25"/>
      <c r="L629" s="25" t="s">
        <v>1370</v>
      </c>
      <c r="M629" s="25"/>
      <c r="N629" s="25"/>
      <c r="O629" s="18"/>
      <c r="P629" s="27"/>
      <c r="Q629" s="29"/>
      <c r="R629" s="30"/>
      <c r="U629">
        <v>627</v>
      </c>
      <c r="V629" s="9">
        <v>1</v>
      </c>
      <c r="W629" s="46"/>
    </row>
    <row r="630" spans="2:23" ht="40" customHeight="1">
      <c r="B630" s="14">
        <v>314</v>
      </c>
      <c r="C630" s="16" t="s">
        <v>1371</v>
      </c>
      <c r="D630" s="16"/>
      <c r="E630" s="16"/>
      <c r="F630" s="16"/>
      <c r="G630" s="16"/>
      <c r="H630" s="16"/>
      <c r="I630" s="16"/>
      <c r="J630" s="16"/>
      <c r="K630" s="16"/>
      <c r="L630" s="16"/>
      <c r="M630" s="16"/>
      <c r="N630" s="16"/>
      <c r="O630" s="17"/>
      <c r="P630" s="19" t="str">
        <f t="shared" si="608"/>
        <v>×</v>
      </c>
      <c r="Q630" s="28" t="str">
        <f t="shared" ref="Q630" si="669">IF(O630=R630,$S$3,$T$3)</f>
        <v>×</v>
      </c>
      <c r="R630" s="23" t="s">
        <v>289</v>
      </c>
      <c r="U630">
        <v>628</v>
      </c>
      <c r="V630" s="9">
        <v>2</v>
      </c>
      <c r="W630" s="46">
        <f t="shared" ref="W630" si="670">IF(O630=R630,1,0)</f>
        <v>0</v>
      </c>
    </row>
    <row r="631" spans="2:23" ht="40" customHeight="1">
      <c r="B631" s="15"/>
      <c r="C631" s="25" t="s">
        <v>1372</v>
      </c>
      <c r="D631" s="25"/>
      <c r="E631" s="25"/>
      <c r="F631" s="25" t="s">
        <v>1373</v>
      </c>
      <c r="G631" s="25"/>
      <c r="H631" s="25"/>
      <c r="I631" s="25" t="s">
        <v>1374</v>
      </c>
      <c r="J631" s="25"/>
      <c r="K631" s="25"/>
      <c r="L631" s="25" t="s">
        <v>1375</v>
      </c>
      <c r="M631" s="25"/>
      <c r="N631" s="25"/>
      <c r="O631" s="18"/>
      <c r="P631" s="27"/>
      <c r="Q631" s="29"/>
      <c r="R631" s="30"/>
      <c r="U631">
        <v>629</v>
      </c>
      <c r="V631" s="9">
        <v>1</v>
      </c>
      <c r="W631" s="46"/>
    </row>
    <row r="632" spans="2:23" ht="40" customHeight="1">
      <c r="B632" s="14">
        <v>315</v>
      </c>
      <c r="C632" s="40" t="s">
        <v>1376</v>
      </c>
      <c r="D632" s="40"/>
      <c r="E632" s="40"/>
      <c r="F632" s="40"/>
      <c r="G632" s="40"/>
      <c r="H632" s="40"/>
      <c r="I632" s="40"/>
      <c r="J632" s="40"/>
      <c r="K632" s="40"/>
      <c r="L632" s="40"/>
      <c r="M632" s="40"/>
      <c r="N632" s="40"/>
      <c r="O632" s="17"/>
      <c r="P632" s="19" t="str">
        <f t="shared" ref="P632:P658" si="671">Q632</f>
        <v>×</v>
      </c>
      <c r="Q632" s="28" t="str">
        <f t="shared" ref="Q632" si="672">IF(O632=R632,$S$3,$T$3)</f>
        <v>×</v>
      </c>
      <c r="R632" s="23" t="s">
        <v>287</v>
      </c>
      <c r="U632">
        <v>630</v>
      </c>
      <c r="V632" s="9">
        <v>2</v>
      </c>
      <c r="W632" s="46">
        <f t="shared" ref="W632" si="673">IF(O632=R632,1,0)</f>
        <v>0</v>
      </c>
    </row>
    <row r="633" spans="2:23" ht="40" customHeight="1">
      <c r="B633" s="15"/>
      <c r="C633" s="25" t="s">
        <v>1377</v>
      </c>
      <c r="D633" s="25"/>
      <c r="E633" s="25"/>
      <c r="F633" s="25" t="s">
        <v>1378</v>
      </c>
      <c r="G633" s="25"/>
      <c r="H633" s="25"/>
      <c r="I633" s="25" t="s">
        <v>1379</v>
      </c>
      <c r="J633" s="25"/>
      <c r="K633" s="25"/>
      <c r="L633" s="25" t="s">
        <v>1380</v>
      </c>
      <c r="M633" s="25"/>
      <c r="N633" s="25"/>
      <c r="O633" s="18"/>
      <c r="P633" s="27"/>
      <c r="Q633" s="29"/>
      <c r="R633" s="30"/>
      <c r="U633">
        <v>631</v>
      </c>
      <c r="V633" s="9">
        <v>1</v>
      </c>
      <c r="W633" s="46"/>
    </row>
    <row r="634" spans="2:23" ht="40" customHeight="1">
      <c r="B634" s="14">
        <v>316</v>
      </c>
      <c r="C634" s="16" t="s">
        <v>1381</v>
      </c>
      <c r="D634" s="16"/>
      <c r="E634" s="16"/>
      <c r="F634" s="16"/>
      <c r="G634" s="16"/>
      <c r="H634" s="16"/>
      <c r="I634" s="16"/>
      <c r="J634" s="16"/>
      <c r="K634" s="16"/>
      <c r="L634" s="16"/>
      <c r="M634" s="16"/>
      <c r="N634" s="16"/>
      <c r="O634" s="17"/>
      <c r="P634" s="19" t="str">
        <f t="shared" si="671"/>
        <v>×</v>
      </c>
      <c r="Q634" s="28" t="str">
        <f t="shared" ref="Q634" si="674">IF(O634=R634,$S$3,$T$3)</f>
        <v>×</v>
      </c>
      <c r="R634" s="23" t="s">
        <v>287</v>
      </c>
      <c r="U634">
        <v>632</v>
      </c>
      <c r="V634" s="9">
        <v>2</v>
      </c>
      <c r="W634" s="46">
        <f t="shared" ref="W634" si="675">IF(O634=R634,1,0)</f>
        <v>0</v>
      </c>
    </row>
    <row r="635" spans="2:23" ht="40" customHeight="1">
      <c r="B635" s="15"/>
      <c r="C635" s="25" t="s">
        <v>1382</v>
      </c>
      <c r="D635" s="25"/>
      <c r="E635" s="25"/>
      <c r="F635" s="25" t="s">
        <v>1383</v>
      </c>
      <c r="G635" s="25"/>
      <c r="H635" s="25"/>
      <c r="I635" s="25" t="s">
        <v>1384</v>
      </c>
      <c r="J635" s="25"/>
      <c r="K635" s="25"/>
      <c r="L635" s="25" t="s">
        <v>1385</v>
      </c>
      <c r="M635" s="25"/>
      <c r="N635" s="25"/>
      <c r="O635" s="18"/>
      <c r="P635" s="27"/>
      <c r="Q635" s="29"/>
      <c r="R635" s="30"/>
      <c r="U635">
        <v>633</v>
      </c>
      <c r="V635" s="9">
        <v>1</v>
      </c>
      <c r="W635" s="46"/>
    </row>
    <row r="636" spans="2:23" ht="40" customHeight="1">
      <c r="B636" s="14">
        <v>317</v>
      </c>
      <c r="C636" s="16" t="s">
        <v>1386</v>
      </c>
      <c r="D636" s="16"/>
      <c r="E636" s="16"/>
      <c r="F636" s="16"/>
      <c r="G636" s="16"/>
      <c r="H636" s="16"/>
      <c r="I636" s="16"/>
      <c r="J636" s="16"/>
      <c r="K636" s="16"/>
      <c r="L636" s="16"/>
      <c r="M636" s="16"/>
      <c r="N636" s="16"/>
      <c r="O636" s="17"/>
      <c r="P636" s="19" t="str">
        <f t="shared" si="671"/>
        <v>×</v>
      </c>
      <c r="Q636" s="28" t="str">
        <f t="shared" ref="Q636" si="676">IF(O636=R636,$S$3,$T$3)</f>
        <v>×</v>
      </c>
      <c r="R636" s="23" t="s">
        <v>287</v>
      </c>
      <c r="U636">
        <v>634</v>
      </c>
      <c r="V636" s="9">
        <v>2</v>
      </c>
      <c r="W636" s="46">
        <f t="shared" ref="W636" si="677">IF(O636=R636,1,0)</f>
        <v>0</v>
      </c>
    </row>
    <row r="637" spans="2:23" ht="40" customHeight="1">
      <c r="B637" s="15"/>
      <c r="C637" s="25" t="s">
        <v>1387</v>
      </c>
      <c r="D637" s="25"/>
      <c r="E637" s="25"/>
      <c r="F637" s="25" t="s">
        <v>1388</v>
      </c>
      <c r="G637" s="25"/>
      <c r="H637" s="25"/>
      <c r="I637" s="25" t="s">
        <v>411</v>
      </c>
      <c r="J637" s="25"/>
      <c r="K637" s="25"/>
      <c r="L637" s="25" t="s">
        <v>1389</v>
      </c>
      <c r="M637" s="25"/>
      <c r="N637" s="25"/>
      <c r="O637" s="18"/>
      <c r="P637" s="27"/>
      <c r="Q637" s="29"/>
      <c r="R637" s="30"/>
      <c r="U637">
        <v>635</v>
      </c>
      <c r="V637" s="9">
        <v>1</v>
      </c>
      <c r="W637" s="46"/>
    </row>
    <row r="638" spans="2:23" ht="40" customHeight="1">
      <c r="B638" s="14">
        <v>318</v>
      </c>
      <c r="C638" s="16" t="s">
        <v>1390</v>
      </c>
      <c r="D638" s="16"/>
      <c r="E638" s="16"/>
      <c r="F638" s="16"/>
      <c r="G638" s="16"/>
      <c r="H638" s="16"/>
      <c r="I638" s="16"/>
      <c r="J638" s="16"/>
      <c r="K638" s="16"/>
      <c r="L638" s="16"/>
      <c r="M638" s="16"/>
      <c r="N638" s="16"/>
      <c r="O638" s="17"/>
      <c r="P638" s="19" t="str">
        <f t="shared" si="671"/>
        <v>×</v>
      </c>
      <c r="Q638" s="28" t="str">
        <f t="shared" ref="Q638" si="678">IF(O638=R638,$S$3,$T$3)</f>
        <v>×</v>
      </c>
      <c r="R638" s="23" t="s">
        <v>290</v>
      </c>
      <c r="U638">
        <v>636</v>
      </c>
      <c r="V638" s="9">
        <v>2</v>
      </c>
      <c r="W638" s="46">
        <f t="shared" ref="W638" si="679">IF(O638=R638,1,0)</f>
        <v>0</v>
      </c>
    </row>
    <row r="639" spans="2:23" ht="40" customHeight="1">
      <c r="B639" s="15"/>
      <c r="C639" s="25" t="s">
        <v>1391</v>
      </c>
      <c r="D639" s="25"/>
      <c r="E639" s="25"/>
      <c r="F639" s="25" t="s">
        <v>1392</v>
      </c>
      <c r="G639" s="25"/>
      <c r="H639" s="25"/>
      <c r="I639" s="25" t="s">
        <v>1393</v>
      </c>
      <c r="J639" s="25"/>
      <c r="K639" s="25"/>
      <c r="L639" s="25" t="s">
        <v>1394</v>
      </c>
      <c r="M639" s="25"/>
      <c r="N639" s="25"/>
      <c r="O639" s="18"/>
      <c r="P639" s="27"/>
      <c r="Q639" s="29"/>
      <c r="R639" s="30"/>
      <c r="U639">
        <v>637</v>
      </c>
      <c r="V639" s="9">
        <v>1</v>
      </c>
      <c r="W639" s="46"/>
    </row>
    <row r="640" spans="2:23" ht="40" customHeight="1">
      <c r="B640" s="14">
        <v>319</v>
      </c>
      <c r="C640" s="16" t="s">
        <v>1395</v>
      </c>
      <c r="D640" s="16"/>
      <c r="E640" s="16"/>
      <c r="F640" s="16"/>
      <c r="G640" s="16"/>
      <c r="H640" s="16"/>
      <c r="I640" s="16"/>
      <c r="J640" s="16"/>
      <c r="K640" s="16"/>
      <c r="L640" s="16"/>
      <c r="M640" s="16"/>
      <c r="N640" s="16"/>
      <c r="O640" s="17"/>
      <c r="P640" s="19" t="str">
        <f t="shared" si="671"/>
        <v>×</v>
      </c>
      <c r="Q640" s="28" t="str">
        <f t="shared" ref="Q640" si="680">IF(O640=R640,$S$3,$T$3)</f>
        <v>×</v>
      </c>
      <c r="R640" s="23" t="s">
        <v>287</v>
      </c>
      <c r="U640">
        <v>638</v>
      </c>
      <c r="V640" s="9">
        <v>2</v>
      </c>
      <c r="W640" s="46">
        <f t="shared" ref="W640" si="681">IF(O640=R640,1,0)</f>
        <v>0</v>
      </c>
    </row>
    <row r="641" spans="2:23" ht="40" customHeight="1">
      <c r="B641" s="15"/>
      <c r="C641" s="25" t="s">
        <v>1396</v>
      </c>
      <c r="D641" s="25"/>
      <c r="E641" s="25"/>
      <c r="F641" s="25" t="s">
        <v>1397</v>
      </c>
      <c r="G641" s="25"/>
      <c r="H641" s="25"/>
      <c r="I641" s="25" t="s">
        <v>1398</v>
      </c>
      <c r="J641" s="25"/>
      <c r="K641" s="25"/>
      <c r="L641" s="25" t="s">
        <v>1399</v>
      </c>
      <c r="M641" s="25"/>
      <c r="N641" s="25"/>
      <c r="O641" s="18"/>
      <c r="P641" s="27"/>
      <c r="Q641" s="29"/>
      <c r="R641" s="30"/>
      <c r="U641">
        <v>639</v>
      </c>
      <c r="V641" s="9">
        <v>1</v>
      </c>
      <c r="W641" s="46"/>
    </row>
    <row r="642" spans="2:23" ht="40" customHeight="1">
      <c r="B642" s="14">
        <v>320</v>
      </c>
      <c r="C642" s="16" t="s">
        <v>951</v>
      </c>
      <c r="D642" s="16"/>
      <c r="E642" s="16"/>
      <c r="F642" s="16"/>
      <c r="G642" s="16"/>
      <c r="H642" s="16"/>
      <c r="I642" s="16"/>
      <c r="J642" s="16"/>
      <c r="K642" s="16"/>
      <c r="L642" s="16"/>
      <c r="M642" s="16"/>
      <c r="N642" s="16"/>
      <c r="O642" s="17"/>
      <c r="P642" s="19" t="str">
        <f t="shared" si="671"/>
        <v>×</v>
      </c>
      <c r="Q642" s="28" t="str">
        <f t="shared" ref="Q642" si="682">IF(O642=R642,$S$3,$T$3)</f>
        <v>×</v>
      </c>
      <c r="R642" s="23" t="s">
        <v>288</v>
      </c>
      <c r="U642">
        <v>640</v>
      </c>
      <c r="V642" s="9">
        <v>2</v>
      </c>
      <c r="W642" s="46">
        <f t="shared" ref="W642" si="683">IF(O642=R642,1,0)</f>
        <v>0</v>
      </c>
    </row>
    <row r="643" spans="2:23" ht="40" customHeight="1">
      <c r="B643" s="15"/>
      <c r="C643" s="25" t="s">
        <v>952</v>
      </c>
      <c r="D643" s="25"/>
      <c r="E643" s="25"/>
      <c r="F643" s="25" t="s">
        <v>953</v>
      </c>
      <c r="G643" s="25"/>
      <c r="H643" s="25"/>
      <c r="I643" s="25" t="s">
        <v>954</v>
      </c>
      <c r="J643" s="25"/>
      <c r="K643" s="25"/>
      <c r="L643" s="25" t="s">
        <v>955</v>
      </c>
      <c r="M643" s="25"/>
      <c r="N643" s="25"/>
      <c r="O643" s="18"/>
      <c r="P643" s="27"/>
      <c r="Q643" s="29"/>
      <c r="R643" s="30"/>
      <c r="U643">
        <v>641</v>
      </c>
      <c r="V643" s="9">
        <v>1</v>
      </c>
      <c r="W643" s="46"/>
    </row>
    <row r="644" spans="2:23" ht="40" customHeight="1">
      <c r="B644" s="14">
        <v>321</v>
      </c>
      <c r="C644" s="16" t="s">
        <v>956</v>
      </c>
      <c r="D644" s="16"/>
      <c r="E644" s="16"/>
      <c r="F644" s="16"/>
      <c r="G644" s="16"/>
      <c r="H644" s="16"/>
      <c r="I644" s="16"/>
      <c r="J644" s="16"/>
      <c r="K644" s="16"/>
      <c r="L644" s="16"/>
      <c r="M644" s="16"/>
      <c r="N644" s="16"/>
      <c r="O644" s="17"/>
      <c r="P644" s="19" t="str">
        <f t="shared" si="671"/>
        <v>×</v>
      </c>
      <c r="Q644" s="28" t="str">
        <f t="shared" ref="Q644" si="684">IF(O644=R644,$S$3,$T$3)</f>
        <v>×</v>
      </c>
      <c r="R644" s="23" t="s">
        <v>290</v>
      </c>
      <c r="U644">
        <v>642</v>
      </c>
      <c r="V644" s="9">
        <v>2</v>
      </c>
      <c r="W644" s="46">
        <f t="shared" ref="W644" si="685">IF(O644=R644,1,0)</f>
        <v>0</v>
      </c>
    </row>
    <row r="645" spans="2:23" ht="40" customHeight="1">
      <c r="B645" s="15"/>
      <c r="C645" s="25" t="s">
        <v>957</v>
      </c>
      <c r="D645" s="25"/>
      <c r="E645" s="25"/>
      <c r="F645" s="25" t="s">
        <v>958</v>
      </c>
      <c r="G645" s="25"/>
      <c r="H645" s="25"/>
      <c r="I645" s="25" t="s">
        <v>959</v>
      </c>
      <c r="J645" s="25"/>
      <c r="K645" s="25"/>
      <c r="L645" s="25" t="s">
        <v>960</v>
      </c>
      <c r="M645" s="25"/>
      <c r="N645" s="25"/>
      <c r="O645" s="18"/>
      <c r="P645" s="27"/>
      <c r="Q645" s="29"/>
      <c r="R645" s="30"/>
      <c r="U645">
        <v>643</v>
      </c>
      <c r="V645" s="9">
        <v>1</v>
      </c>
      <c r="W645" s="46"/>
    </row>
    <row r="646" spans="2:23" ht="40" customHeight="1">
      <c r="B646" s="14">
        <v>322</v>
      </c>
      <c r="C646" s="16" t="s">
        <v>961</v>
      </c>
      <c r="D646" s="16"/>
      <c r="E646" s="16"/>
      <c r="F646" s="16"/>
      <c r="G646" s="16"/>
      <c r="H646" s="16"/>
      <c r="I646" s="16"/>
      <c r="J646" s="16"/>
      <c r="K646" s="16"/>
      <c r="L646" s="16"/>
      <c r="M646" s="16"/>
      <c r="N646" s="16"/>
      <c r="O646" s="17"/>
      <c r="P646" s="19" t="str">
        <f t="shared" si="671"/>
        <v>×</v>
      </c>
      <c r="Q646" s="28" t="str">
        <f t="shared" ref="Q646" si="686">IF(O646=R646,$S$3,$T$3)</f>
        <v>×</v>
      </c>
      <c r="R646" s="23" t="s">
        <v>288</v>
      </c>
      <c r="U646">
        <v>644</v>
      </c>
      <c r="V646" s="9">
        <v>2</v>
      </c>
      <c r="W646" s="46">
        <f t="shared" ref="W646" si="687">IF(O646=R646,1,0)</f>
        <v>0</v>
      </c>
    </row>
    <row r="647" spans="2:23" ht="40" customHeight="1">
      <c r="B647" s="15"/>
      <c r="C647" s="25" t="s">
        <v>962</v>
      </c>
      <c r="D647" s="25"/>
      <c r="E647" s="25"/>
      <c r="F647" s="25" t="s">
        <v>963</v>
      </c>
      <c r="G647" s="25"/>
      <c r="H647" s="25"/>
      <c r="I647" s="25" t="s">
        <v>964</v>
      </c>
      <c r="J647" s="25"/>
      <c r="K647" s="25"/>
      <c r="L647" s="25" t="s">
        <v>965</v>
      </c>
      <c r="M647" s="25"/>
      <c r="N647" s="25"/>
      <c r="O647" s="18"/>
      <c r="P647" s="27"/>
      <c r="Q647" s="29"/>
      <c r="R647" s="30"/>
      <c r="U647">
        <v>645</v>
      </c>
      <c r="V647" s="9">
        <v>1</v>
      </c>
      <c r="W647" s="46"/>
    </row>
    <row r="648" spans="2:23" ht="40" customHeight="1">
      <c r="B648" s="14">
        <v>323</v>
      </c>
      <c r="C648" s="16" t="s">
        <v>966</v>
      </c>
      <c r="D648" s="16"/>
      <c r="E648" s="16"/>
      <c r="F648" s="16"/>
      <c r="G648" s="16"/>
      <c r="H648" s="16"/>
      <c r="I648" s="16"/>
      <c r="J648" s="16"/>
      <c r="K648" s="16"/>
      <c r="L648" s="16"/>
      <c r="M648" s="16"/>
      <c r="N648" s="16"/>
      <c r="O648" s="17"/>
      <c r="P648" s="19" t="str">
        <f t="shared" si="671"/>
        <v>×</v>
      </c>
      <c r="Q648" s="28" t="str">
        <f t="shared" ref="Q648" si="688">IF(O648=R648,$S$3,$T$3)</f>
        <v>×</v>
      </c>
      <c r="R648" s="23" t="s">
        <v>287</v>
      </c>
      <c r="U648">
        <v>646</v>
      </c>
      <c r="V648" s="9">
        <v>2</v>
      </c>
      <c r="W648" s="46">
        <f t="shared" ref="W648" si="689">IF(O648=R648,1,0)</f>
        <v>0</v>
      </c>
    </row>
    <row r="649" spans="2:23" ht="40" customHeight="1">
      <c r="B649" s="15"/>
      <c r="C649" s="25" t="s">
        <v>967</v>
      </c>
      <c r="D649" s="25"/>
      <c r="E649" s="25"/>
      <c r="F649" s="25" t="s">
        <v>968</v>
      </c>
      <c r="G649" s="25"/>
      <c r="H649" s="25"/>
      <c r="I649" s="25" t="s">
        <v>969</v>
      </c>
      <c r="J649" s="25"/>
      <c r="K649" s="25"/>
      <c r="L649" s="25" t="s">
        <v>970</v>
      </c>
      <c r="M649" s="25"/>
      <c r="N649" s="25"/>
      <c r="O649" s="18"/>
      <c r="P649" s="27"/>
      <c r="Q649" s="29"/>
      <c r="R649" s="30"/>
      <c r="U649">
        <v>647</v>
      </c>
      <c r="V649" s="9">
        <v>1</v>
      </c>
      <c r="W649" s="46"/>
    </row>
    <row r="650" spans="2:23" ht="40" customHeight="1">
      <c r="B650" s="14">
        <v>324</v>
      </c>
      <c r="C650" s="16" t="s">
        <v>971</v>
      </c>
      <c r="D650" s="16"/>
      <c r="E650" s="16"/>
      <c r="F650" s="16"/>
      <c r="G650" s="16"/>
      <c r="H650" s="16"/>
      <c r="I650" s="16"/>
      <c r="J650" s="16"/>
      <c r="K650" s="16"/>
      <c r="L650" s="16"/>
      <c r="M650" s="16"/>
      <c r="N650" s="16"/>
      <c r="O650" s="17"/>
      <c r="P650" s="19" t="str">
        <f t="shared" si="671"/>
        <v>×</v>
      </c>
      <c r="Q650" s="28" t="str">
        <f t="shared" ref="Q650" si="690">IF(O650=R650,$S$3,$T$3)</f>
        <v>×</v>
      </c>
      <c r="R650" s="23" t="s">
        <v>287</v>
      </c>
      <c r="U650">
        <v>648</v>
      </c>
      <c r="V650" s="9">
        <v>2</v>
      </c>
      <c r="W650" s="46">
        <f t="shared" ref="W650" si="691">IF(O650=R650,1,0)</f>
        <v>0</v>
      </c>
    </row>
    <row r="651" spans="2:23" ht="40" customHeight="1">
      <c r="B651" s="15"/>
      <c r="C651" s="25" t="s">
        <v>972</v>
      </c>
      <c r="D651" s="25"/>
      <c r="E651" s="25"/>
      <c r="F651" s="25" t="s">
        <v>973</v>
      </c>
      <c r="G651" s="25"/>
      <c r="H651" s="25"/>
      <c r="I651" s="25" t="s">
        <v>974</v>
      </c>
      <c r="J651" s="25"/>
      <c r="K651" s="25"/>
      <c r="L651" s="25" t="s">
        <v>975</v>
      </c>
      <c r="M651" s="25"/>
      <c r="N651" s="25"/>
      <c r="O651" s="18"/>
      <c r="P651" s="27"/>
      <c r="Q651" s="29"/>
      <c r="R651" s="30"/>
      <c r="U651">
        <v>649</v>
      </c>
      <c r="V651" s="9">
        <v>1</v>
      </c>
      <c r="W651" s="46"/>
    </row>
    <row r="652" spans="2:23" ht="40" customHeight="1">
      <c r="B652" s="14">
        <v>325</v>
      </c>
      <c r="C652" s="16" t="s">
        <v>976</v>
      </c>
      <c r="D652" s="16"/>
      <c r="E652" s="16"/>
      <c r="F652" s="16"/>
      <c r="G652" s="16"/>
      <c r="H652" s="16"/>
      <c r="I652" s="16"/>
      <c r="J652" s="16"/>
      <c r="K652" s="16"/>
      <c r="L652" s="16"/>
      <c r="M652" s="16"/>
      <c r="N652" s="16"/>
      <c r="O652" s="17"/>
      <c r="P652" s="19" t="str">
        <f t="shared" si="671"/>
        <v>×</v>
      </c>
      <c r="Q652" s="28" t="str">
        <f t="shared" ref="Q652" si="692">IF(O652=R652,$S$3,$T$3)</f>
        <v>×</v>
      </c>
      <c r="R652" s="23" t="s">
        <v>288</v>
      </c>
      <c r="U652">
        <v>650</v>
      </c>
      <c r="V652" s="9">
        <v>2</v>
      </c>
      <c r="W652" s="46">
        <f t="shared" ref="W652" si="693">IF(O652=R652,1,0)</f>
        <v>0</v>
      </c>
    </row>
    <row r="653" spans="2:23" ht="40" customHeight="1">
      <c r="B653" s="15"/>
      <c r="C653" s="25" t="s">
        <v>977</v>
      </c>
      <c r="D653" s="25"/>
      <c r="E653" s="25"/>
      <c r="F653" s="25" t="s">
        <v>978</v>
      </c>
      <c r="G653" s="25"/>
      <c r="H653" s="25"/>
      <c r="I653" s="25" t="s">
        <v>979</v>
      </c>
      <c r="J653" s="25"/>
      <c r="K653" s="25"/>
      <c r="L653" s="25" t="s">
        <v>980</v>
      </c>
      <c r="M653" s="25"/>
      <c r="N653" s="25"/>
      <c r="O653" s="18"/>
      <c r="P653" s="27"/>
      <c r="Q653" s="29"/>
      <c r="R653" s="30"/>
      <c r="U653">
        <v>651</v>
      </c>
      <c r="V653" s="9">
        <v>1</v>
      </c>
      <c r="W653" s="46"/>
    </row>
    <row r="654" spans="2:23" ht="40" customHeight="1">
      <c r="B654" s="14">
        <v>326</v>
      </c>
      <c r="C654" s="16" t="s">
        <v>981</v>
      </c>
      <c r="D654" s="16"/>
      <c r="E654" s="16"/>
      <c r="F654" s="16"/>
      <c r="G654" s="16"/>
      <c r="H654" s="16"/>
      <c r="I654" s="16"/>
      <c r="J654" s="16"/>
      <c r="K654" s="16"/>
      <c r="L654" s="16"/>
      <c r="M654" s="16"/>
      <c r="N654" s="16"/>
      <c r="O654" s="17"/>
      <c r="P654" s="19" t="str">
        <f t="shared" si="671"/>
        <v>×</v>
      </c>
      <c r="Q654" s="28" t="str">
        <f t="shared" ref="Q654" si="694">IF(O654=R654,$S$3,$T$3)</f>
        <v>×</v>
      </c>
      <c r="R654" s="23" t="s">
        <v>289</v>
      </c>
      <c r="U654">
        <v>652</v>
      </c>
      <c r="V654" s="9">
        <v>2</v>
      </c>
      <c r="W654" s="46">
        <f t="shared" ref="W654" si="695">IF(O654=R654,1,0)</f>
        <v>0</v>
      </c>
    </row>
    <row r="655" spans="2:23" ht="40" customHeight="1">
      <c r="B655" s="15"/>
      <c r="C655" s="25" t="s">
        <v>982</v>
      </c>
      <c r="D655" s="25"/>
      <c r="E655" s="25"/>
      <c r="F655" s="25" t="s">
        <v>983</v>
      </c>
      <c r="G655" s="25"/>
      <c r="H655" s="25"/>
      <c r="I655" s="25" t="s">
        <v>984</v>
      </c>
      <c r="J655" s="25"/>
      <c r="K655" s="25"/>
      <c r="L655" s="25" t="s">
        <v>157</v>
      </c>
      <c r="M655" s="25"/>
      <c r="N655" s="25"/>
      <c r="O655" s="18"/>
      <c r="P655" s="27"/>
      <c r="Q655" s="29"/>
      <c r="R655" s="30"/>
      <c r="U655">
        <v>653</v>
      </c>
      <c r="V655" s="9">
        <v>1</v>
      </c>
      <c r="W655" s="46"/>
    </row>
    <row r="656" spans="2:23" ht="40" customHeight="1">
      <c r="B656" s="14">
        <v>327</v>
      </c>
      <c r="C656" s="40" t="s">
        <v>985</v>
      </c>
      <c r="D656" s="40"/>
      <c r="E656" s="40"/>
      <c r="F656" s="40"/>
      <c r="G656" s="40"/>
      <c r="H656" s="40"/>
      <c r="I656" s="40"/>
      <c r="J656" s="40"/>
      <c r="K656" s="40"/>
      <c r="L656" s="40"/>
      <c r="M656" s="40"/>
      <c r="N656" s="40"/>
      <c r="O656" s="17"/>
      <c r="P656" s="19" t="str">
        <f t="shared" si="671"/>
        <v>×</v>
      </c>
      <c r="Q656" s="28" t="str">
        <f t="shared" ref="Q656" si="696">IF(O656=R656,$S$3,$T$3)</f>
        <v>×</v>
      </c>
      <c r="R656" s="23" t="s">
        <v>289</v>
      </c>
      <c r="U656">
        <v>654</v>
      </c>
      <c r="V656" s="9">
        <v>2</v>
      </c>
      <c r="W656" s="46">
        <f t="shared" ref="W656" si="697">IF(O656=R656,1,0)</f>
        <v>0</v>
      </c>
    </row>
    <row r="657" spans="2:23" ht="40" customHeight="1">
      <c r="B657" s="15"/>
      <c r="C657" s="25" t="s">
        <v>986</v>
      </c>
      <c r="D657" s="25"/>
      <c r="E657" s="25"/>
      <c r="F657" s="25" t="s">
        <v>987</v>
      </c>
      <c r="G657" s="25"/>
      <c r="H657" s="25"/>
      <c r="I657" s="25" t="s">
        <v>988</v>
      </c>
      <c r="J657" s="25"/>
      <c r="K657" s="25"/>
      <c r="L657" s="25" t="s">
        <v>989</v>
      </c>
      <c r="M657" s="25"/>
      <c r="N657" s="25"/>
      <c r="O657" s="18"/>
      <c r="P657" s="27"/>
      <c r="Q657" s="29"/>
      <c r="R657" s="30"/>
      <c r="U657">
        <v>655</v>
      </c>
      <c r="V657" s="9">
        <v>1</v>
      </c>
      <c r="W657" s="46"/>
    </row>
    <row r="658" spans="2:23" ht="40" customHeight="1">
      <c r="B658" s="14">
        <v>328</v>
      </c>
      <c r="C658" s="16" t="s">
        <v>990</v>
      </c>
      <c r="D658" s="16"/>
      <c r="E658" s="16"/>
      <c r="F658" s="16"/>
      <c r="G658" s="16"/>
      <c r="H658" s="16"/>
      <c r="I658" s="16"/>
      <c r="J658" s="16"/>
      <c r="K658" s="16"/>
      <c r="L658" s="16"/>
      <c r="M658" s="16"/>
      <c r="N658" s="16"/>
      <c r="O658" s="17"/>
      <c r="P658" s="19" t="str">
        <f t="shared" si="671"/>
        <v>×</v>
      </c>
      <c r="Q658" s="28" t="str">
        <f t="shared" ref="Q658" si="698">IF(O658=R658,$S$3,$T$3)</f>
        <v>×</v>
      </c>
      <c r="R658" s="23" t="s">
        <v>287</v>
      </c>
      <c r="U658">
        <v>656</v>
      </c>
      <c r="V658" s="9">
        <v>2</v>
      </c>
      <c r="W658" s="46">
        <f t="shared" ref="W658" si="699">IF(O658=R658,1,0)</f>
        <v>0</v>
      </c>
    </row>
    <row r="659" spans="2:23" ht="40" customHeight="1">
      <c r="B659" s="15"/>
      <c r="C659" s="25" t="s">
        <v>991</v>
      </c>
      <c r="D659" s="25"/>
      <c r="E659" s="25"/>
      <c r="F659" s="25" t="s">
        <v>992</v>
      </c>
      <c r="G659" s="25"/>
      <c r="H659" s="25"/>
      <c r="I659" s="25" t="s">
        <v>993</v>
      </c>
      <c r="J659" s="25"/>
      <c r="K659" s="25"/>
      <c r="L659" s="25" t="s">
        <v>994</v>
      </c>
      <c r="M659" s="25"/>
      <c r="N659" s="25"/>
      <c r="O659" s="18"/>
      <c r="P659" s="27"/>
      <c r="Q659" s="29"/>
      <c r="R659" s="30"/>
      <c r="U659">
        <v>657</v>
      </c>
      <c r="V659" s="9">
        <v>1</v>
      </c>
      <c r="W659" s="46"/>
    </row>
    <row r="899" ht="36" customHeight="1"/>
  </sheetData>
  <sheetProtection algorithmName="SHA-512" hashValue="5fmnk2pK7x06AKeZH6C2Ig3YdAdf6fsUVOX3kcEhh/lofv9Y04oZDkFR/06pg6jkOTLWBMDrJvToJKjWA4zQcA==" saltValue="w7rseVKKpk2Oo/Rjrp94MQ==" spinCount="100000" sheet="1" objects="1" scenarios="1" selectLockedCells="1"/>
  <protectedRanges>
    <protectedRange sqref="O4:O659" name="区域1"/>
  </protectedRanges>
  <mergeCells count="3513">
    <mergeCell ref="B658:B659"/>
    <mergeCell ref="C658:N658"/>
    <mergeCell ref="O658:O659"/>
    <mergeCell ref="P658:P659"/>
    <mergeCell ref="Q658:Q659"/>
    <mergeCell ref="R658:R659"/>
    <mergeCell ref="W658:W659"/>
    <mergeCell ref="C659:E659"/>
    <mergeCell ref="F659:H659"/>
    <mergeCell ref="I659:K659"/>
    <mergeCell ref="L659:N659"/>
    <mergeCell ref="B656:B657"/>
    <mergeCell ref="C656:N656"/>
    <mergeCell ref="O656:O657"/>
    <mergeCell ref="P656:P657"/>
    <mergeCell ref="Q656:Q657"/>
    <mergeCell ref="R656:R657"/>
    <mergeCell ref="W656:W657"/>
    <mergeCell ref="C657:E657"/>
    <mergeCell ref="F657:H657"/>
    <mergeCell ref="I657:K657"/>
    <mergeCell ref="L657:N657"/>
    <mergeCell ref="B654:B655"/>
    <mergeCell ref="C654:N654"/>
    <mergeCell ref="O654:O655"/>
    <mergeCell ref="P654:P655"/>
    <mergeCell ref="Q654:Q655"/>
    <mergeCell ref="R654:R655"/>
    <mergeCell ref="W654:W655"/>
    <mergeCell ref="C655:E655"/>
    <mergeCell ref="F655:H655"/>
    <mergeCell ref="I655:K655"/>
    <mergeCell ref="L655:N655"/>
    <mergeCell ref="B652:B653"/>
    <mergeCell ref="C652:N652"/>
    <mergeCell ref="O652:O653"/>
    <mergeCell ref="P652:P653"/>
    <mergeCell ref="Q652:Q653"/>
    <mergeCell ref="R652:R653"/>
    <mergeCell ref="W652:W653"/>
    <mergeCell ref="C653:E653"/>
    <mergeCell ref="F653:H653"/>
    <mergeCell ref="I653:K653"/>
    <mergeCell ref="L653:N653"/>
    <mergeCell ref="B650:B651"/>
    <mergeCell ref="C650:N650"/>
    <mergeCell ref="O650:O651"/>
    <mergeCell ref="P650:P651"/>
    <mergeCell ref="Q650:Q651"/>
    <mergeCell ref="R650:R651"/>
    <mergeCell ref="W650:W651"/>
    <mergeCell ref="C651:E651"/>
    <mergeCell ref="F651:H651"/>
    <mergeCell ref="I651:K651"/>
    <mergeCell ref="L651:N651"/>
    <mergeCell ref="B648:B649"/>
    <mergeCell ref="C648:N648"/>
    <mergeCell ref="O648:O649"/>
    <mergeCell ref="P648:P649"/>
    <mergeCell ref="Q648:Q649"/>
    <mergeCell ref="R648:R649"/>
    <mergeCell ref="W648:W649"/>
    <mergeCell ref="C649:E649"/>
    <mergeCell ref="F649:H649"/>
    <mergeCell ref="I649:K649"/>
    <mergeCell ref="L649:N649"/>
    <mergeCell ref="B646:B647"/>
    <mergeCell ref="C646:N646"/>
    <mergeCell ref="O646:O647"/>
    <mergeCell ref="P646:P647"/>
    <mergeCell ref="Q646:Q647"/>
    <mergeCell ref="R646:R647"/>
    <mergeCell ref="W646:W647"/>
    <mergeCell ref="C647:E647"/>
    <mergeCell ref="F647:H647"/>
    <mergeCell ref="I647:K647"/>
    <mergeCell ref="L647:N647"/>
    <mergeCell ref="B644:B645"/>
    <mergeCell ref="C644:N644"/>
    <mergeCell ref="O644:O645"/>
    <mergeCell ref="P644:P645"/>
    <mergeCell ref="Q644:Q645"/>
    <mergeCell ref="R644:R645"/>
    <mergeCell ref="W644:W645"/>
    <mergeCell ref="C645:E645"/>
    <mergeCell ref="F645:H645"/>
    <mergeCell ref="I645:K645"/>
    <mergeCell ref="L645:N645"/>
    <mergeCell ref="B642:B643"/>
    <mergeCell ref="C642:N642"/>
    <mergeCell ref="O642:O643"/>
    <mergeCell ref="P642:P643"/>
    <mergeCell ref="Q642:Q643"/>
    <mergeCell ref="R642:R643"/>
    <mergeCell ref="W642:W643"/>
    <mergeCell ref="C643:E643"/>
    <mergeCell ref="F643:H643"/>
    <mergeCell ref="I643:K643"/>
    <mergeCell ref="L643:N643"/>
    <mergeCell ref="B640:B641"/>
    <mergeCell ref="C640:N640"/>
    <mergeCell ref="O640:O641"/>
    <mergeCell ref="P640:P641"/>
    <mergeCell ref="Q640:Q641"/>
    <mergeCell ref="R640:R641"/>
    <mergeCell ref="W640:W641"/>
    <mergeCell ref="C641:E641"/>
    <mergeCell ref="F641:H641"/>
    <mergeCell ref="I641:K641"/>
    <mergeCell ref="L641:N641"/>
    <mergeCell ref="B638:B639"/>
    <mergeCell ref="C638:N638"/>
    <mergeCell ref="O638:O639"/>
    <mergeCell ref="P638:P639"/>
    <mergeCell ref="Q638:Q639"/>
    <mergeCell ref="R638:R639"/>
    <mergeCell ref="W638:W639"/>
    <mergeCell ref="C639:E639"/>
    <mergeCell ref="F639:H639"/>
    <mergeCell ref="I639:K639"/>
    <mergeCell ref="L639:N639"/>
    <mergeCell ref="B636:B637"/>
    <mergeCell ref="C636:N636"/>
    <mergeCell ref="O636:O637"/>
    <mergeCell ref="P636:P637"/>
    <mergeCell ref="Q636:Q637"/>
    <mergeCell ref="R636:R637"/>
    <mergeCell ref="W636:W637"/>
    <mergeCell ref="C637:E637"/>
    <mergeCell ref="F637:H637"/>
    <mergeCell ref="I637:K637"/>
    <mergeCell ref="L637:N637"/>
    <mergeCell ref="B634:B635"/>
    <mergeCell ref="C634:N634"/>
    <mergeCell ref="O634:O635"/>
    <mergeCell ref="P634:P635"/>
    <mergeCell ref="Q634:Q635"/>
    <mergeCell ref="R634:R635"/>
    <mergeCell ref="W634:W635"/>
    <mergeCell ref="C635:E635"/>
    <mergeCell ref="F635:H635"/>
    <mergeCell ref="I635:K635"/>
    <mergeCell ref="L635:N635"/>
    <mergeCell ref="B632:B633"/>
    <mergeCell ref="C632:N632"/>
    <mergeCell ref="O632:O633"/>
    <mergeCell ref="P632:P633"/>
    <mergeCell ref="Q632:Q633"/>
    <mergeCell ref="R632:R633"/>
    <mergeCell ref="W632:W633"/>
    <mergeCell ref="C633:E633"/>
    <mergeCell ref="F633:H633"/>
    <mergeCell ref="I633:K633"/>
    <mergeCell ref="L633:N633"/>
    <mergeCell ref="B630:B631"/>
    <mergeCell ref="C630:N630"/>
    <mergeCell ref="O630:O631"/>
    <mergeCell ref="P630:P631"/>
    <mergeCell ref="Q630:Q631"/>
    <mergeCell ref="R630:R631"/>
    <mergeCell ref="W630:W631"/>
    <mergeCell ref="C631:E631"/>
    <mergeCell ref="F631:H631"/>
    <mergeCell ref="I631:K631"/>
    <mergeCell ref="L631:N631"/>
    <mergeCell ref="B628:B629"/>
    <mergeCell ref="C628:N628"/>
    <mergeCell ref="O628:O629"/>
    <mergeCell ref="P628:P629"/>
    <mergeCell ref="Q628:Q629"/>
    <mergeCell ref="R628:R629"/>
    <mergeCell ref="W628:W629"/>
    <mergeCell ref="C629:E629"/>
    <mergeCell ref="F629:H629"/>
    <mergeCell ref="I629:K629"/>
    <mergeCell ref="L629:N629"/>
    <mergeCell ref="B626:B627"/>
    <mergeCell ref="C626:N626"/>
    <mergeCell ref="O626:O627"/>
    <mergeCell ref="P626:P627"/>
    <mergeCell ref="Q626:Q627"/>
    <mergeCell ref="R626:R627"/>
    <mergeCell ref="W626:W627"/>
    <mergeCell ref="C627:E627"/>
    <mergeCell ref="F627:H627"/>
    <mergeCell ref="I627:K627"/>
    <mergeCell ref="L627:N627"/>
    <mergeCell ref="B624:B625"/>
    <mergeCell ref="C624:N624"/>
    <mergeCell ref="O624:O625"/>
    <mergeCell ref="P624:P625"/>
    <mergeCell ref="Q624:Q625"/>
    <mergeCell ref="R624:R625"/>
    <mergeCell ref="W624:W625"/>
    <mergeCell ref="C625:E625"/>
    <mergeCell ref="F625:H625"/>
    <mergeCell ref="I625:K625"/>
    <mergeCell ref="L625:N625"/>
    <mergeCell ref="B622:B623"/>
    <mergeCell ref="C622:N622"/>
    <mergeCell ref="O622:O623"/>
    <mergeCell ref="P622:P623"/>
    <mergeCell ref="Q622:Q623"/>
    <mergeCell ref="R622:R623"/>
    <mergeCell ref="W622:W623"/>
    <mergeCell ref="C623:E623"/>
    <mergeCell ref="F623:H623"/>
    <mergeCell ref="I623:K623"/>
    <mergeCell ref="L623:N623"/>
    <mergeCell ref="B620:B621"/>
    <mergeCell ref="C620:N620"/>
    <mergeCell ref="O620:O621"/>
    <mergeCell ref="P620:P621"/>
    <mergeCell ref="Q620:Q621"/>
    <mergeCell ref="R620:R621"/>
    <mergeCell ref="W620:W621"/>
    <mergeCell ref="C621:E621"/>
    <mergeCell ref="F621:H621"/>
    <mergeCell ref="I621:K621"/>
    <mergeCell ref="L621:N621"/>
    <mergeCell ref="B618:B619"/>
    <mergeCell ref="C618:N618"/>
    <mergeCell ref="O618:O619"/>
    <mergeCell ref="P618:P619"/>
    <mergeCell ref="Q618:Q619"/>
    <mergeCell ref="R618:R619"/>
    <mergeCell ref="W618:W619"/>
    <mergeCell ref="C619:E619"/>
    <mergeCell ref="F619:H619"/>
    <mergeCell ref="I619:K619"/>
    <mergeCell ref="L619:N619"/>
    <mergeCell ref="B616:B617"/>
    <mergeCell ref="C616:N616"/>
    <mergeCell ref="O616:O617"/>
    <mergeCell ref="P616:P617"/>
    <mergeCell ref="Q616:Q617"/>
    <mergeCell ref="R616:R617"/>
    <mergeCell ref="W616:W617"/>
    <mergeCell ref="C617:E617"/>
    <mergeCell ref="F617:H617"/>
    <mergeCell ref="I617:K617"/>
    <mergeCell ref="L617:N617"/>
    <mergeCell ref="B614:B615"/>
    <mergeCell ref="C614:N614"/>
    <mergeCell ref="O614:O615"/>
    <mergeCell ref="P614:P615"/>
    <mergeCell ref="Q614:Q615"/>
    <mergeCell ref="R614:R615"/>
    <mergeCell ref="W614:W615"/>
    <mergeCell ref="C615:E615"/>
    <mergeCell ref="F615:H615"/>
    <mergeCell ref="I615:K615"/>
    <mergeCell ref="L615:N615"/>
    <mergeCell ref="B612:B613"/>
    <mergeCell ref="C612:N612"/>
    <mergeCell ref="O612:O613"/>
    <mergeCell ref="P612:P613"/>
    <mergeCell ref="Q612:Q613"/>
    <mergeCell ref="R612:R613"/>
    <mergeCell ref="W612:W613"/>
    <mergeCell ref="C613:E613"/>
    <mergeCell ref="F613:H613"/>
    <mergeCell ref="I613:K613"/>
    <mergeCell ref="L613:N613"/>
    <mergeCell ref="B610:B611"/>
    <mergeCell ref="C610:N610"/>
    <mergeCell ref="O610:O611"/>
    <mergeCell ref="P610:P611"/>
    <mergeCell ref="Q610:Q611"/>
    <mergeCell ref="R610:R611"/>
    <mergeCell ref="W610:W611"/>
    <mergeCell ref="C611:E611"/>
    <mergeCell ref="F611:H611"/>
    <mergeCell ref="I611:K611"/>
    <mergeCell ref="L611:N611"/>
    <mergeCell ref="B608:B609"/>
    <mergeCell ref="C608:N608"/>
    <mergeCell ref="O608:O609"/>
    <mergeCell ref="P608:P609"/>
    <mergeCell ref="Q608:Q609"/>
    <mergeCell ref="R608:R609"/>
    <mergeCell ref="W608:W609"/>
    <mergeCell ref="C609:E609"/>
    <mergeCell ref="F609:H609"/>
    <mergeCell ref="I609:K609"/>
    <mergeCell ref="L609:N609"/>
    <mergeCell ref="B606:B607"/>
    <mergeCell ref="C606:N606"/>
    <mergeCell ref="O606:O607"/>
    <mergeCell ref="P606:P607"/>
    <mergeCell ref="Q606:Q607"/>
    <mergeCell ref="R606:R607"/>
    <mergeCell ref="W606:W607"/>
    <mergeCell ref="C607:E607"/>
    <mergeCell ref="F607:H607"/>
    <mergeCell ref="I607:K607"/>
    <mergeCell ref="L607:N607"/>
    <mergeCell ref="B604:B605"/>
    <mergeCell ref="C604:N604"/>
    <mergeCell ref="O604:O605"/>
    <mergeCell ref="P604:P605"/>
    <mergeCell ref="Q604:Q605"/>
    <mergeCell ref="R604:R605"/>
    <mergeCell ref="W604:W605"/>
    <mergeCell ref="C605:E605"/>
    <mergeCell ref="F605:H605"/>
    <mergeCell ref="I605:K605"/>
    <mergeCell ref="L605:N605"/>
    <mergeCell ref="B602:B603"/>
    <mergeCell ref="C602:N602"/>
    <mergeCell ref="O602:O603"/>
    <mergeCell ref="P602:P603"/>
    <mergeCell ref="Q602:Q603"/>
    <mergeCell ref="R602:R603"/>
    <mergeCell ref="W602:W603"/>
    <mergeCell ref="C603:E603"/>
    <mergeCell ref="F603:H603"/>
    <mergeCell ref="I603:K603"/>
    <mergeCell ref="L603:N603"/>
    <mergeCell ref="B600:B601"/>
    <mergeCell ref="O600:O601"/>
    <mergeCell ref="P600:P601"/>
    <mergeCell ref="Q600:Q601"/>
    <mergeCell ref="R600:R601"/>
    <mergeCell ref="W600:W601"/>
    <mergeCell ref="C600:N601"/>
    <mergeCell ref="B598:B599"/>
    <mergeCell ref="C598:N598"/>
    <mergeCell ref="O598:O599"/>
    <mergeCell ref="P598:P599"/>
    <mergeCell ref="Q598:Q599"/>
    <mergeCell ref="R598:R599"/>
    <mergeCell ref="W598:W599"/>
    <mergeCell ref="C599:E599"/>
    <mergeCell ref="F599:H599"/>
    <mergeCell ref="I599:K599"/>
    <mergeCell ref="L599:N599"/>
    <mergeCell ref="B596:B597"/>
    <mergeCell ref="C596:N596"/>
    <mergeCell ref="O596:O597"/>
    <mergeCell ref="P596:P597"/>
    <mergeCell ref="Q596:Q597"/>
    <mergeCell ref="R596:R597"/>
    <mergeCell ref="W596:W597"/>
    <mergeCell ref="C597:E597"/>
    <mergeCell ref="F597:H597"/>
    <mergeCell ref="I597:K597"/>
    <mergeCell ref="L597:N597"/>
    <mergeCell ref="B594:B595"/>
    <mergeCell ref="C594:N594"/>
    <mergeCell ref="O594:O595"/>
    <mergeCell ref="P594:P595"/>
    <mergeCell ref="Q594:Q595"/>
    <mergeCell ref="R594:R595"/>
    <mergeCell ref="W594:W595"/>
    <mergeCell ref="C595:E595"/>
    <mergeCell ref="F595:H595"/>
    <mergeCell ref="I595:K595"/>
    <mergeCell ref="L595:N595"/>
    <mergeCell ref="B592:B593"/>
    <mergeCell ref="C592:N592"/>
    <mergeCell ref="O592:O593"/>
    <mergeCell ref="P592:P593"/>
    <mergeCell ref="Q592:Q593"/>
    <mergeCell ref="R592:R593"/>
    <mergeCell ref="W592:W593"/>
    <mergeCell ref="C593:E593"/>
    <mergeCell ref="F593:H593"/>
    <mergeCell ref="I593:K593"/>
    <mergeCell ref="L593:N593"/>
    <mergeCell ref="B590:B591"/>
    <mergeCell ref="C590:N590"/>
    <mergeCell ref="O590:O591"/>
    <mergeCell ref="P590:P591"/>
    <mergeCell ref="Q590:Q591"/>
    <mergeCell ref="R590:R591"/>
    <mergeCell ref="W590:W591"/>
    <mergeCell ref="C591:E591"/>
    <mergeCell ref="F591:H591"/>
    <mergeCell ref="I591:K591"/>
    <mergeCell ref="L591:N591"/>
    <mergeCell ref="B588:B589"/>
    <mergeCell ref="C588:N588"/>
    <mergeCell ref="O588:O589"/>
    <mergeCell ref="P588:P589"/>
    <mergeCell ref="Q588:Q589"/>
    <mergeCell ref="R588:R589"/>
    <mergeCell ref="W588:W589"/>
    <mergeCell ref="C589:E589"/>
    <mergeCell ref="F589:H589"/>
    <mergeCell ref="I589:K589"/>
    <mergeCell ref="L589:N589"/>
    <mergeCell ref="B586:B587"/>
    <mergeCell ref="C586:N586"/>
    <mergeCell ref="O586:O587"/>
    <mergeCell ref="P586:P587"/>
    <mergeCell ref="Q586:Q587"/>
    <mergeCell ref="R586:R587"/>
    <mergeCell ref="W586:W587"/>
    <mergeCell ref="C587:E587"/>
    <mergeCell ref="F587:H587"/>
    <mergeCell ref="I587:K587"/>
    <mergeCell ref="L587:N587"/>
    <mergeCell ref="B584:B585"/>
    <mergeCell ref="C584:N584"/>
    <mergeCell ref="O584:O585"/>
    <mergeCell ref="P584:P585"/>
    <mergeCell ref="Q584:Q585"/>
    <mergeCell ref="R584:R585"/>
    <mergeCell ref="W584:W585"/>
    <mergeCell ref="C585:E585"/>
    <mergeCell ref="F585:H585"/>
    <mergeCell ref="I585:K585"/>
    <mergeCell ref="L585:N585"/>
    <mergeCell ref="B582:B583"/>
    <mergeCell ref="C582:N582"/>
    <mergeCell ref="O582:O583"/>
    <mergeCell ref="P582:P583"/>
    <mergeCell ref="Q582:Q583"/>
    <mergeCell ref="R582:R583"/>
    <mergeCell ref="W582:W583"/>
    <mergeCell ref="C583:E583"/>
    <mergeCell ref="F583:H583"/>
    <mergeCell ref="I583:K583"/>
    <mergeCell ref="L583:N583"/>
    <mergeCell ref="B580:B581"/>
    <mergeCell ref="C580:N580"/>
    <mergeCell ref="O580:O581"/>
    <mergeCell ref="P580:P581"/>
    <mergeCell ref="Q580:Q581"/>
    <mergeCell ref="R580:R581"/>
    <mergeCell ref="W580:W581"/>
    <mergeCell ref="C581:E581"/>
    <mergeCell ref="F581:H581"/>
    <mergeCell ref="I581:K581"/>
    <mergeCell ref="L581:N581"/>
    <mergeCell ref="B578:B579"/>
    <mergeCell ref="C578:N578"/>
    <mergeCell ref="O578:O579"/>
    <mergeCell ref="P578:P579"/>
    <mergeCell ref="Q578:Q579"/>
    <mergeCell ref="R578:R579"/>
    <mergeCell ref="W578:W579"/>
    <mergeCell ref="C579:E579"/>
    <mergeCell ref="F579:H579"/>
    <mergeCell ref="I579:K579"/>
    <mergeCell ref="L579:N579"/>
    <mergeCell ref="B576:B577"/>
    <mergeCell ref="C576:N576"/>
    <mergeCell ref="O576:O577"/>
    <mergeCell ref="P576:P577"/>
    <mergeCell ref="Q576:Q577"/>
    <mergeCell ref="R576:R577"/>
    <mergeCell ref="W576:W577"/>
    <mergeCell ref="C577:E577"/>
    <mergeCell ref="F577:H577"/>
    <mergeCell ref="I577:K577"/>
    <mergeCell ref="L577:N577"/>
    <mergeCell ref="B574:B575"/>
    <mergeCell ref="C574:N574"/>
    <mergeCell ref="O574:O575"/>
    <mergeCell ref="P574:P575"/>
    <mergeCell ref="Q574:Q575"/>
    <mergeCell ref="R574:R575"/>
    <mergeCell ref="W574:W575"/>
    <mergeCell ref="C575:E575"/>
    <mergeCell ref="F575:H575"/>
    <mergeCell ref="I575:K575"/>
    <mergeCell ref="L575:N575"/>
    <mergeCell ref="B572:B573"/>
    <mergeCell ref="C572:N572"/>
    <mergeCell ref="O572:O573"/>
    <mergeCell ref="P572:P573"/>
    <mergeCell ref="Q572:Q573"/>
    <mergeCell ref="R572:R573"/>
    <mergeCell ref="W572:W573"/>
    <mergeCell ref="C573:E573"/>
    <mergeCell ref="F573:H573"/>
    <mergeCell ref="I573:K573"/>
    <mergeCell ref="L573:N573"/>
    <mergeCell ref="B570:B571"/>
    <mergeCell ref="C570:N570"/>
    <mergeCell ref="O570:O571"/>
    <mergeCell ref="P570:P571"/>
    <mergeCell ref="Q570:Q571"/>
    <mergeCell ref="R570:R571"/>
    <mergeCell ref="W570:W571"/>
    <mergeCell ref="C571:E571"/>
    <mergeCell ref="F571:H571"/>
    <mergeCell ref="I571:K571"/>
    <mergeCell ref="L571:N571"/>
    <mergeCell ref="B568:B569"/>
    <mergeCell ref="C568:N568"/>
    <mergeCell ref="O568:O569"/>
    <mergeCell ref="P568:P569"/>
    <mergeCell ref="Q568:Q569"/>
    <mergeCell ref="R568:R569"/>
    <mergeCell ref="W568:W569"/>
    <mergeCell ref="C569:E569"/>
    <mergeCell ref="F569:H569"/>
    <mergeCell ref="I569:K569"/>
    <mergeCell ref="L569:N569"/>
    <mergeCell ref="B566:B567"/>
    <mergeCell ref="C566:N566"/>
    <mergeCell ref="O566:O567"/>
    <mergeCell ref="P566:P567"/>
    <mergeCell ref="Q566:Q567"/>
    <mergeCell ref="R566:R567"/>
    <mergeCell ref="W566:W567"/>
    <mergeCell ref="C567:E567"/>
    <mergeCell ref="F567:H567"/>
    <mergeCell ref="I567:K567"/>
    <mergeCell ref="L567:N567"/>
    <mergeCell ref="B564:B565"/>
    <mergeCell ref="C564:N564"/>
    <mergeCell ref="O564:O565"/>
    <mergeCell ref="P564:P565"/>
    <mergeCell ref="Q564:Q565"/>
    <mergeCell ref="R564:R565"/>
    <mergeCell ref="W564:W565"/>
    <mergeCell ref="C565:E565"/>
    <mergeCell ref="F565:H565"/>
    <mergeCell ref="I565:K565"/>
    <mergeCell ref="L565:N565"/>
    <mergeCell ref="B562:B563"/>
    <mergeCell ref="C562:N562"/>
    <mergeCell ref="O562:O563"/>
    <mergeCell ref="P562:P563"/>
    <mergeCell ref="Q562:Q563"/>
    <mergeCell ref="R562:R563"/>
    <mergeCell ref="W562:W563"/>
    <mergeCell ref="C563:E563"/>
    <mergeCell ref="F563:H563"/>
    <mergeCell ref="I563:K563"/>
    <mergeCell ref="L563:N563"/>
    <mergeCell ref="B560:B561"/>
    <mergeCell ref="C560:N560"/>
    <mergeCell ref="O560:O561"/>
    <mergeCell ref="P560:P561"/>
    <mergeCell ref="Q560:Q561"/>
    <mergeCell ref="R560:R561"/>
    <mergeCell ref="W560:W561"/>
    <mergeCell ref="C561:E561"/>
    <mergeCell ref="F561:H561"/>
    <mergeCell ref="I561:K561"/>
    <mergeCell ref="L561:N561"/>
    <mergeCell ref="B558:B559"/>
    <mergeCell ref="C558:N558"/>
    <mergeCell ref="O558:O559"/>
    <mergeCell ref="P558:P559"/>
    <mergeCell ref="Q558:Q559"/>
    <mergeCell ref="R558:R559"/>
    <mergeCell ref="W558:W559"/>
    <mergeCell ref="C559:E559"/>
    <mergeCell ref="F559:H559"/>
    <mergeCell ref="I559:K559"/>
    <mergeCell ref="L559:N559"/>
    <mergeCell ref="B556:B557"/>
    <mergeCell ref="O556:O557"/>
    <mergeCell ref="P556:P557"/>
    <mergeCell ref="Q556:Q557"/>
    <mergeCell ref="R556:R557"/>
    <mergeCell ref="W556:W557"/>
    <mergeCell ref="C556:N557"/>
    <mergeCell ref="B554:B555"/>
    <mergeCell ref="O554:O555"/>
    <mergeCell ref="P554:P555"/>
    <mergeCell ref="Q554:Q555"/>
    <mergeCell ref="R554:R555"/>
    <mergeCell ref="W554:W555"/>
    <mergeCell ref="C554:N555"/>
    <mergeCell ref="B552:B553"/>
    <mergeCell ref="O552:O553"/>
    <mergeCell ref="P552:P553"/>
    <mergeCell ref="Q552:Q553"/>
    <mergeCell ref="R552:R553"/>
    <mergeCell ref="W552:W553"/>
    <mergeCell ref="C552:N553"/>
    <mergeCell ref="B550:B551"/>
    <mergeCell ref="O550:O551"/>
    <mergeCell ref="P550:P551"/>
    <mergeCell ref="Q550:Q551"/>
    <mergeCell ref="R550:R551"/>
    <mergeCell ref="W550:W551"/>
    <mergeCell ref="C550:N551"/>
    <mergeCell ref="B548:B549"/>
    <mergeCell ref="O548:O549"/>
    <mergeCell ref="P548:P549"/>
    <mergeCell ref="Q548:Q549"/>
    <mergeCell ref="R548:R549"/>
    <mergeCell ref="W548:W549"/>
    <mergeCell ref="C548:N549"/>
    <mergeCell ref="B546:B547"/>
    <mergeCell ref="O546:O547"/>
    <mergeCell ref="P546:P547"/>
    <mergeCell ref="Q546:Q547"/>
    <mergeCell ref="R546:R547"/>
    <mergeCell ref="W546:W547"/>
    <mergeCell ref="C546:N547"/>
    <mergeCell ref="B544:B545"/>
    <mergeCell ref="C544:N544"/>
    <mergeCell ref="O544:O545"/>
    <mergeCell ref="P544:P545"/>
    <mergeCell ref="Q544:Q545"/>
    <mergeCell ref="R544:R545"/>
    <mergeCell ref="W544:W545"/>
    <mergeCell ref="C545:E545"/>
    <mergeCell ref="F545:H545"/>
    <mergeCell ref="I545:K545"/>
    <mergeCell ref="L545:N545"/>
    <mergeCell ref="B542:B543"/>
    <mergeCell ref="C542:N542"/>
    <mergeCell ref="O542:O543"/>
    <mergeCell ref="P542:P543"/>
    <mergeCell ref="Q542:Q543"/>
    <mergeCell ref="R542:R543"/>
    <mergeCell ref="W542:W543"/>
    <mergeCell ref="C543:E543"/>
    <mergeCell ref="F543:H543"/>
    <mergeCell ref="I543:K543"/>
    <mergeCell ref="L543:N543"/>
    <mergeCell ref="B540:B541"/>
    <mergeCell ref="C540:N540"/>
    <mergeCell ref="O540:O541"/>
    <mergeCell ref="P540:P541"/>
    <mergeCell ref="Q540:Q541"/>
    <mergeCell ref="R540:R541"/>
    <mergeCell ref="W540:W541"/>
    <mergeCell ref="C541:E541"/>
    <mergeCell ref="F541:H541"/>
    <mergeCell ref="I541:K541"/>
    <mergeCell ref="L541:N541"/>
    <mergeCell ref="B538:B539"/>
    <mergeCell ref="C538:N538"/>
    <mergeCell ref="O538:O539"/>
    <mergeCell ref="P538:P539"/>
    <mergeCell ref="Q538:Q539"/>
    <mergeCell ref="R538:R539"/>
    <mergeCell ref="W538:W539"/>
    <mergeCell ref="C539:E539"/>
    <mergeCell ref="F539:H539"/>
    <mergeCell ref="I539:K539"/>
    <mergeCell ref="L539:N539"/>
    <mergeCell ref="B536:B537"/>
    <mergeCell ref="O536:O537"/>
    <mergeCell ref="P536:P537"/>
    <mergeCell ref="Q536:Q537"/>
    <mergeCell ref="R536:R537"/>
    <mergeCell ref="W536:W537"/>
    <mergeCell ref="C536:N537"/>
    <mergeCell ref="B534:B535"/>
    <mergeCell ref="O534:O535"/>
    <mergeCell ref="P534:P535"/>
    <mergeCell ref="Q534:Q535"/>
    <mergeCell ref="R534:R535"/>
    <mergeCell ref="W534:W535"/>
    <mergeCell ref="C534:N535"/>
    <mergeCell ref="B532:B533"/>
    <mergeCell ref="C532:N532"/>
    <mergeCell ref="O532:O533"/>
    <mergeCell ref="P532:P533"/>
    <mergeCell ref="Q532:Q533"/>
    <mergeCell ref="R532:R533"/>
    <mergeCell ref="W532:W533"/>
    <mergeCell ref="C533:E533"/>
    <mergeCell ref="F533:H533"/>
    <mergeCell ref="I533:K533"/>
    <mergeCell ref="L533:N533"/>
    <mergeCell ref="B530:B531"/>
    <mergeCell ref="C530:N530"/>
    <mergeCell ref="O530:O531"/>
    <mergeCell ref="P530:P531"/>
    <mergeCell ref="Q530:Q531"/>
    <mergeCell ref="R530:R531"/>
    <mergeCell ref="W530:W531"/>
    <mergeCell ref="C531:E531"/>
    <mergeCell ref="F531:H531"/>
    <mergeCell ref="I531:K531"/>
    <mergeCell ref="L531:N531"/>
    <mergeCell ref="B528:B529"/>
    <mergeCell ref="C528:N528"/>
    <mergeCell ref="O528:O529"/>
    <mergeCell ref="P528:P529"/>
    <mergeCell ref="Q528:Q529"/>
    <mergeCell ref="R528:R529"/>
    <mergeCell ref="W528:W529"/>
    <mergeCell ref="C529:E529"/>
    <mergeCell ref="F529:H529"/>
    <mergeCell ref="I529:K529"/>
    <mergeCell ref="L529:N529"/>
    <mergeCell ref="B526:B527"/>
    <mergeCell ref="C526:N526"/>
    <mergeCell ref="O526:O527"/>
    <mergeCell ref="P526:P527"/>
    <mergeCell ref="Q526:Q527"/>
    <mergeCell ref="R526:R527"/>
    <mergeCell ref="W526:W527"/>
    <mergeCell ref="C527:E527"/>
    <mergeCell ref="F527:H527"/>
    <mergeCell ref="I527:K527"/>
    <mergeCell ref="L527:N527"/>
    <mergeCell ref="B524:B525"/>
    <mergeCell ref="C524:N524"/>
    <mergeCell ref="O524:O525"/>
    <mergeCell ref="P524:P525"/>
    <mergeCell ref="Q524:Q525"/>
    <mergeCell ref="R524:R525"/>
    <mergeCell ref="W524:W525"/>
    <mergeCell ref="C525:E525"/>
    <mergeCell ref="F525:H525"/>
    <mergeCell ref="I525:K525"/>
    <mergeCell ref="L525:N525"/>
    <mergeCell ref="B522:B523"/>
    <mergeCell ref="C522:N522"/>
    <mergeCell ref="O522:O523"/>
    <mergeCell ref="P522:P523"/>
    <mergeCell ref="Q522:Q523"/>
    <mergeCell ref="R522:R523"/>
    <mergeCell ref="W522:W523"/>
    <mergeCell ref="C523:E523"/>
    <mergeCell ref="F523:H523"/>
    <mergeCell ref="I523:K523"/>
    <mergeCell ref="L523:N523"/>
    <mergeCell ref="B520:B521"/>
    <mergeCell ref="C520:N520"/>
    <mergeCell ref="O520:O521"/>
    <mergeCell ref="P520:P521"/>
    <mergeCell ref="Q520:Q521"/>
    <mergeCell ref="R520:R521"/>
    <mergeCell ref="W520:W521"/>
    <mergeCell ref="C521:E521"/>
    <mergeCell ref="F521:H521"/>
    <mergeCell ref="I521:K521"/>
    <mergeCell ref="L521:N521"/>
    <mergeCell ref="B518:B519"/>
    <mergeCell ref="C518:N518"/>
    <mergeCell ref="O518:O519"/>
    <mergeCell ref="P518:P519"/>
    <mergeCell ref="Q518:Q519"/>
    <mergeCell ref="R518:R519"/>
    <mergeCell ref="W518:W519"/>
    <mergeCell ref="C519:E519"/>
    <mergeCell ref="F519:H519"/>
    <mergeCell ref="I519:K519"/>
    <mergeCell ref="L519:N519"/>
    <mergeCell ref="B516:B517"/>
    <mergeCell ref="C516:N516"/>
    <mergeCell ref="O516:O517"/>
    <mergeCell ref="P516:P517"/>
    <mergeCell ref="Q516:Q517"/>
    <mergeCell ref="R516:R517"/>
    <mergeCell ref="W516:W517"/>
    <mergeCell ref="C517:E517"/>
    <mergeCell ref="F517:H517"/>
    <mergeCell ref="I517:K517"/>
    <mergeCell ref="L517:N517"/>
    <mergeCell ref="B514:B515"/>
    <mergeCell ref="O514:O515"/>
    <mergeCell ref="P514:P515"/>
    <mergeCell ref="Q514:Q515"/>
    <mergeCell ref="R514:R515"/>
    <mergeCell ref="W514:W515"/>
    <mergeCell ref="C514:N515"/>
    <mergeCell ref="B512:B513"/>
    <mergeCell ref="O512:O513"/>
    <mergeCell ref="P512:P513"/>
    <mergeCell ref="Q512:Q513"/>
    <mergeCell ref="R512:R513"/>
    <mergeCell ref="W512:W513"/>
    <mergeCell ref="C512:N513"/>
    <mergeCell ref="B510:B511"/>
    <mergeCell ref="O510:O511"/>
    <mergeCell ref="P510:P511"/>
    <mergeCell ref="Q510:Q511"/>
    <mergeCell ref="R510:R511"/>
    <mergeCell ref="W510:W511"/>
    <mergeCell ref="C510:N511"/>
    <mergeCell ref="B508:B509"/>
    <mergeCell ref="O508:O509"/>
    <mergeCell ref="P508:P509"/>
    <mergeCell ref="Q508:Q509"/>
    <mergeCell ref="R508:R509"/>
    <mergeCell ref="W508:W509"/>
    <mergeCell ref="C508:N509"/>
    <mergeCell ref="B506:B507"/>
    <mergeCell ref="O506:O507"/>
    <mergeCell ref="P506:P507"/>
    <mergeCell ref="Q506:Q507"/>
    <mergeCell ref="R506:R507"/>
    <mergeCell ref="W506:W507"/>
    <mergeCell ref="C506:N507"/>
    <mergeCell ref="B504:B505"/>
    <mergeCell ref="O504:O505"/>
    <mergeCell ref="P504:P505"/>
    <mergeCell ref="Q504:Q505"/>
    <mergeCell ref="R504:R505"/>
    <mergeCell ref="W504:W505"/>
    <mergeCell ref="C504:N505"/>
    <mergeCell ref="B502:B503"/>
    <mergeCell ref="O502:O503"/>
    <mergeCell ref="P502:P503"/>
    <mergeCell ref="Q502:Q503"/>
    <mergeCell ref="R502:R503"/>
    <mergeCell ref="W502:W503"/>
    <mergeCell ref="C502:N503"/>
    <mergeCell ref="B500:B501"/>
    <mergeCell ref="O500:O501"/>
    <mergeCell ref="P500:P501"/>
    <mergeCell ref="Q500:Q501"/>
    <mergeCell ref="R500:R501"/>
    <mergeCell ref="W500:W501"/>
    <mergeCell ref="C500:N501"/>
    <mergeCell ref="B498:B499"/>
    <mergeCell ref="O498:O499"/>
    <mergeCell ref="P498:P499"/>
    <mergeCell ref="Q498:Q499"/>
    <mergeCell ref="R498:R499"/>
    <mergeCell ref="W498:W499"/>
    <mergeCell ref="C498:N499"/>
    <mergeCell ref="B496:B497"/>
    <mergeCell ref="O496:O497"/>
    <mergeCell ref="P496:P497"/>
    <mergeCell ref="Q496:Q497"/>
    <mergeCell ref="R496:R497"/>
    <mergeCell ref="W496:W497"/>
    <mergeCell ref="C496:N497"/>
    <mergeCell ref="B494:B495"/>
    <mergeCell ref="O494:O495"/>
    <mergeCell ref="P494:P495"/>
    <mergeCell ref="Q494:Q495"/>
    <mergeCell ref="R494:R495"/>
    <mergeCell ref="W494:W495"/>
    <mergeCell ref="C494:N495"/>
    <mergeCell ref="B492:B493"/>
    <mergeCell ref="C492:N492"/>
    <mergeCell ref="O492:O493"/>
    <mergeCell ref="P492:P493"/>
    <mergeCell ref="Q492:Q493"/>
    <mergeCell ref="R492:R493"/>
    <mergeCell ref="W492:W493"/>
    <mergeCell ref="C493:E493"/>
    <mergeCell ref="F493:H493"/>
    <mergeCell ref="I493:K493"/>
    <mergeCell ref="L493:N493"/>
    <mergeCell ref="B490:B491"/>
    <mergeCell ref="O490:O491"/>
    <mergeCell ref="P490:P491"/>
    <mergeCell ref="Q490:Q491"/>
    <mergeCell ref="R490:R491"/>
    <mergeCell ref="W490:W491"/>
    <mergeCell ref="C490:N491"/>
    <mergeCell ref="B488:B489"/>
    <mergeCell ref="C488:N488"/>
    <mergeCell ref="O488:O489"/>
    <mergeCell ref="P488:P489"/>
    <mergeCell ref="Q488:Q489"/>
    <mergeCell ref="R488:R489"/>
    <mergeCell ref="W488:W489"/>
    <mergeCell ref="C489:E489"/>
    <mergeCell ref="F489:H489"/>
    <mergeCell ref="I489:K489"/>
    <mergeCell ref="L489:N489"/>
    <mergeCell ref="B486:B487"/>
    <mergeCell ref="C486:N486"/>
    <mergeCell ref="O486:O487"/>
    <mergeCell ref="P486:P487"/>
    <mergeCell ref="Q486:Q487"/>
    <mergeCell ref="R486:R487"/>
    <mergeCell ref="W486:W487"/>
    <mergeCell ref="C487:E487"/>
    <mergeCell ref="F487:H487"/>
    <mergeCell ref="I487:K487"/>
    <mergeCell ref="L487:N487"/>
    <mergeCell ref="B484:B485"/>
    <mergeCell ref="C484:N484"/>
    <mergeCell ref="O484:O485"/>
    <mergeCell ref="P484:P485"/>
    <mergeCell ref="Q484:Q485"/>
    <mergeCell ref="R484:R485"/>
    <mergeCell ref="W484:W485"/>
    <mergeCell ref="C485:E485"/>
    <mergeCell ref="F485:H485"/>
    <mergeCell ref="I485:K485"/>
    <mergeCell ref="L485:N485"/>
    <mergeCell ref="B482:B483"/>
    <mergeCell ref="C482:N482"/>
    <mergeCell ref="O482:O483"/>
    <mergeCell ref="P482:P483"/>
    <mergeCell ref="Q482:Q483"/>
    <mergeCell ref="R482:R483"/>
    <mergeCell ref="W482:W483"/>
    <mergeCell ref="C483:E483"/>
    <mergeCell ref="F483:H483"/>
    <mergeCell ref="I483:K483"/>
    <mergeCell ref="L483:N483"/>
    <mergeCell ref="B480:B481"/>
    <mergeCell ref="C480:N480"/>
    <mergeCell ref="O480:O481"/>
    <mergeCell ref="P480:P481"/>
    <mergeCell ref="Q480:Q481"/>
    <mergeCell ref="R480:R481"/>
    <mergeCell ref="W480:W481"/>
    <mergeCell ref="C481:E481"/>
    <mergeCell ref="F481:H481"/>
    <mergeCell ref="I481:K481"/>
    <mergeCell ref="L481:N481"/>
    <mergeCell ref="B478:B479"/>
    <mergeCell ref="C478:N478"/>
    <mergeCell ref="O478:O479"/>
    <mergeCell ref="P478:P479"/>
    <mergeCell ref="Q478:Q479"/>
    <mergeCell ref="R478:R479"/>
    <mergeCell ref="W478:W479"/>
    <mergeCell ref="C479:E479"/>
    <mergeCell ref="F479:H479"/>
    <mergeCell ref="I479:K479"/>
    <mergeCell ref="L479:N479"/>
    <mergeCell ref="B476:B477"/>
    <mergeCell ref="C476:N476"/>
    <mergeCell ref="O476:O477"/>
    <mergeCell ref="P476:P477"/>
    <mergeCell ref="Q476:Q477"/>
    <mergeCell ref="R476:R477"/>
    <mergeCell ref="W476:W477"/>
    <mergeCell ref="C477:E477"/>
    <mergeCell ref="F477:H477"/>
    <mergeCell ref="I477:K477"/>
    <mergeCell ref="L477:N477"/>
    <mergeCell ref="B474:B475"/>
    <mergeCell ref="C474:N474"/>
    <mergeCell ref="O474:O475"/>
    <mergeCell ref="P474:P475"/>
    <mergeCell ref="Q474:Q475"/>
    <mergeCell ref="R474:R475"/>
    <mergeCell ref="W474:W475"/>
    <mergeCell ref="C475:E475"/>
    <mergeCell ref="F475:H475"/>
    <mergeCell ref="I475:K475"/>
    <mergeCell ref="L475:N475"/>
    <mergeCell ref="B472:B473"/>
    <mergeCell ref="C472:N472"/>
    <mergeCell ref="O472:O473"/>
    <mergeCell ref="P472:P473"/>
    <mergeCell ref="Q472:Q473"/>
    <mergeCell ref="R472:R473"/>
    <mergeCell ref="W472:W473"/>
    <mergeCell ref="C473:E473"/>
    <mergeCell ref="F473:H473"/>
    <mergeCell ref="I473:K473"/>
    <mergeCell ref="L473:N473"/>
    <mergeCell ref="B470:B471"/>
    <mergeCell ref="C470:N470"/>
    <mergeCell ref="O470:O471"/>
    <mergeCell ref="P470:P471"/>
    <mergeCell ref="Q470:Q471"/>
    <mergeCell ref="R470:R471"/>
    <mergeCell ref="W470:W471"/>
    <mergeCell ref="C471:E471"/>
    <mergeCell ref="F471:H471"/>
    <mergeCell ref="I471:K471"/>
    <mergeCell ref="L471:N471"/>
    <mergeCell ref="B468:B469"/>
    <mergeCell ref="C468:N468"/>
    <mergeCell ref="O468:O469"/>
    <mergeCell ref="P468:P469"/>
    <mergeCell ref="Q468:Q469"/>
    <mergeCell ref="R468:R469"/>
    <mergeCell ref="W468:W469"/>
    <mergeCell ref="C469:E469"/>
    <mergeCell ref="F469:H469"/>
    <mergeCell ref="I469:K469"/>
    <mergeCell ref="L469:N469"/>
    <mergeCell ref="B466:B467"/>
    <mergeCell ref="C466:N466"/>
    <mergeCell ref="O466:O467"/>
    <mergeCell ref="P466:P467"/>
    <mergeCell ref="Q466:Q467"/>
    <mergeCell ref="R466:R467"/>
    <mergeCell ref="W466:W467"/>
    <mergeCell ref="C467:E467"/>
    <mergeCell ref="F467:H467"/>
    <mergeCell ref="I467:K467"/>
    <mergeCell ref="L467:N467"/>
    <mergeCell ref="B464:B465"/>
    <mergeCell ref="C464:N464"/>
    <mergeCell ref="O464:O465"/>
    <mergeCell ref="P464:P465"/>
    <mergeCell ref="Q464:Q465"/>
    <mergeCell ref="R464:R465"/>
    <mergeCell ref="W464:W465"/>
    <mergeCell ref="C465:E465"/>
    <mergeCell ref="F465:H465"/>
    <mergeCell ref="I465:K465"/>
    <mergeCell ref="L465:N465"/>
    <mergeCell ref="B462:B463"/>
    <mergeCell ref="C462:N462"/>
    <mergeCell ref="O462:O463"/>
    <mergeCell ref="P462:P463"/>
    <mergeCell ref="Q462:Q463"/>
    <mergeCell ref="R462:R463"/>
    <mergeCell ref="W462:W463"/>
    <mergeCell ref="C463:E463"/>
    <mergeCell ref="F463:H463"/>
    <mergeCell ref="I463:K463"/>
    <mergeCell ref="L463:N463"/>
    <mergeCell ref="B460:B461"/>
    <mergeCell ref="C460:N460"/>
    <mergeCell ref="O460:O461"/>
    <mergeCell ref="P460:P461"/>
    <mergeCell ref="Q460:Q461"/>
    <mergeCell ref="R460:R461"/>
    <mergeCell ref="W460:W461"/>
    <mergeCell ref="C461:E461"/>
    <mergeCell ref="F461:H461"/>
    <mergeCell ref="I461:K461"/>
    <mergeCell ref="L461:N461"/>
    <mergeCell ref="B458:B459"/>
    <mergeCell ref="C458:N458"/>
    <mergeCell ref="O458:O459"/>
    <mergeCell ref="P458:P459"/>
    <mergeCell ref="Q458:Q459"/>
    <mergeCell ref="R458:R459"/>
    <mergeCell ref="W458:W459"/>
    <mergeCell ref="C459:E459"/>
    <mergeCell ref="F459:H459"/>
    <mergeCell ref="I459:K459"/>
    <mergeCell ref="L459:N459"/>
    <mergeCell ref="B456:B457"/>
    <mergeCell ref="C456:N456"/>
    <mergeCell ref="O456:O457"/>
    <mergeCell ref="P456:P457"/>
    <mergeCell ref="Q456:Q457"/>
    <mergeCell ref="R456:R457"/>
    <mergeCell ref="W456:W457"/>
    <mergeCell ref="C457:E457"/>
    <mergeCell ref="F457:H457"/>
    <mergeCell ref="I457:K457"/>
    <mergeCell ref="L457:N457"/>
    <mergeCell ref="B454:B455"/>
    <mergeCell ref="C454:N454"/>
    <mergeCell ref="O454:O455"/>
    <mergeCell ref="P454:P455"/>
    <mergeCell ref="Q454:Q455"/>
    <mergeCell ref="R454:R455"/>
    <mergeCell ref="W454:W455"/>
    <mergeCell ref="C455:E455"/>
    <mergeCell ref="F455:H455"/>
    <mergeCell ref="I455:K455"/>
    <mergeCell ref="L455:N455"/>
    <mergeCell ref="B452:B453"/>
    <mergeCell ref="C452:N452"/>
    <mergeCell ref="O452:O453"/>
    <mergeCell ref="P452:P453"/>
    <mergeCell ref="Q452:Q453"/>
    <mergeCell ref="R452:R453"/>
    <mergeCell ref="W452:W453"/>
    <mergeCell ref="C453:E453"/>
    <mergeCell ref="F453:H453"/>
    <mergeCell ref="I453:K453"/>
    <mergeCell ref="L453:N453"/>
    <mergeCell ref="B450:B451"/>
    <mergeCell ref="C450:N450"/>
    <mergeCell ref="O450:O451"/>
    <mergeCell ref="P450:P451"/>
    <mergeCell ref="Q450:Q451"/>
    <mergeCell ref="R450:R451"/>
    <mergeCell ref="W450:W451"/>
    <mergeCell ref="C451:E451"/>
    <mergeCell ref="F451:H451"/>
    <mergeCell ref="I451:K451"/>
    <mergeCell ref="L451:N451"/>
    <mergeCell ref="B448:B449"/>
    <mergeCell ref="C448:N448"/>
    <mergeCell ref="O448:O449"/>
    <mergeCell ref="P448:P449"/>
    <mergeCell ref="Q448:Q449"/>
    <mergeCell ref="R448:R449"/>
    <mergeCell ref="W448:W449"/>
    <mergeCell ref="C449:E449"/>
    <mergeCell ref="F449:H449"/>
    <mergeCell ref="I449:K449"/>
    <mergeCell ref="L449:N449"/>
    <mergeCell ref="B446:B447"/>
    <mergeCell ref="C446:N446"/>
    <mergeCell ref="O446:O447"/>
    <mergeCell ref="P446:P447"/>
    <mergeCell ref="Q446:Q447"/>
    <mergeCell ref="R446:R447"/>
    <mergeCell ref="W446:W447"/>
    <mergeCell ref="C447:E447"/>
    <mergeCell ref="F447:H447"/>
    <mergeCell ref="I447:K447"/>
    <mergeCell ref="L447:N447"/>
    <mergeCell ref="B444:B445"/>
    <mergeCell ref="C444:N444"/>
    <mergeCell ref="O444:O445"/>
    <mergeCell ref="P444:P445"/>
    <mergeCell ref="Q444:Q445"/>
    <mergeCell ref="R444:R445"/>
    <mergeCell ref="W444:W445"/>
    <mergeCell ref="C445:E445"/>
    <mergeCell ref="F445:H445"/>
    <mergeCell ref="I445:K445"/>
    <mergeCell ref="L445:N445"/>
    <mergeCell ref="B442:B443"/>
    <mergeCell ref="C442:N442"/>
    <mergeCell ref="O442:O443"/>
    <mergeCell ref="P442:P443"/>
    <mergeCell ref="Q442:Q443"/>
    <mergeCell ref="R442:R443"/>
    <mergeCell ref="W442:W443"/>
    <mergeCell ref="C443:E443"/>
    <mergeCell ref="F443:H443"/>
    <mergeCell ref="I443:K443"/>
    <mergeCell ref="L443:N443"/>
    <mergeCell ref="B440:B441"/>
    <mergeCell ref="C440:N440"/>
    <mergeCell ref="O440:O441"/>
    <mergeCell ref="P440:P441"/>
    <mergeCell ref="Q440:Q441"/>
    <mergeCell ref="R440:R441"/>
    <mergeCell ref="W440:W441"/>
    <mergeCell ref="C441:E441"/>
    <mergeCell ref="F441:H441"/>
    <mergeCell ref="I441:K441"/>
    <mergeCell ref="L441:N441"/>
    <mergeCell ref="B438:B439"/>
    <mergeCell ref="C438:N438"/>
    <mergeCell ref="O438:O439"/>
    <mergeCell ref="P438:P439"/>
    <mergeCell ref="Q438:Q439"/>
    <mergeCell ref="R438:R439"/>
    <mergeCell ref="W438:W439"/>
    <mergeCell ref="C439:E439"/>
    <mergeCell ref="F439:H439"/>
    <mergeCell ref="I439:K439"/>
    <mergeCell ref="L439:N439"/>
    <mergeCell ref="B436:B437"/>
    <mergeCell ref="C436:N436"/>
    <mergeCell ref="O436:O437"/>
    <mergeCell ref="P436:P437"/>
    <mergeCell ref="Q436:Q437"/>
    <mergeCell ref="R436:R437"/>
    <mergeCell ref="W436:W437"/>
    <mergeCell ref="C437:E437"/>
    <mergeCell ref="F437:H437"/>
    <mergeCell ref="I437:K437"/>
    <mergeCell ref="L437:N437"/>
    <mergeCell ref="B434:B435"/>
    <mergeCell ref="C434:N434"/>
    <mergeCell ref="O434:O435"/>
    <mergeCell ref="P434:P435"/>
    <mergeCell ref="Q434:Q435"/>
    <mergeCell ref="R434:R435"/>
    <mergeCell ref="W434:W435"/>
    <mergeCell ref="C435:E435"/>
    <mergeCell ref="F435:H435"/>
    <mergeCell ref="I435:K435"/>
    <mergeCell ref="L435:N435"/>
    <mergeCell ref="B432:B433"/>
    <mergeCell ref="C432:N432"/>
    <mergeCell ref="O432:O433"/>
    <mergeCell ref="P432:P433"/>
    <mergeCell ref="Q432:Q433"/>
    <mergeCell ref="R432:R433"/>
    <mergeCell ref="W432:W433"/>
    <mergeCell ref="C433:E433"/>
    <mergeCell ref="F433:H433"/>
    <mergeCell ref="I433:K433"/>
    <mergeCell ref="L433:N433"/>
    <mergeCell ref="B430:B431"/>
    <mergeCell ref="C430:N430"/>
    <mergeCell ref="O430:O431"/>
    <mergeCell ref="P430:P431"/>
    <mergeCell ref="Q430:Q431"/>
    <mergeCell ref="R430:R431"/>
    <mergeCell ref="W430:W431"/>
    <mergeCell ref="C431:E431"/>
    <mergeCell ref="F431:H431"/>
    <mergeCell ref="I431:K431"/>
    <mergeCell ref="L431:N431"/>
    <mergeCell ref="B428:B429"/>
    <mergeCell ref="C428:N428"/>
    <mergeCell ref="O428:O429"/>
    <mergeCell ref="P428:P429"/>
    <mergeCell ref="Q428:Q429"/>
    <mergeCell ref="R428:R429"/>
    <mergeCell ref="W428:W429"/>
    <mergeCell ref="C429:E429"/>
    <mergeCell ref="F429:H429"/>
    <mergeCell ref="I429:K429"/>
    <mergeCell ref="L429:N429"/>
    <mergeCell ref="B426:B427"/>
    <mergeCell ref="C426:N426"/>
    <mergeCell ref="O426:O427"/>
    <mergeCell ref="P426:P427"/>
    <mergeCell ref="Q426:Q427"/>
    <mergeCell ref="R426:R427"/>
    <mergeCell ref="W426:W427"/>
    <mergeCell ref="C427:E427"/>
    <mergeCell ref="F427:H427"/>
    <mergeCell ref="I427:K427"/>
    <mergeCell ref="L427:N427"/>
    <mergeCell ref="B424:B425"/>
    <mergeCell ref="C424:N424"/>
    <mergeCell ref="O424:O425"/>
    <mergeCell ref="P424:P425"/>
    <mergeCell ref="Q424:Q425"/>
    <mergeCell ref="R424:R425"/>
    <mergeCell ref="W424:W425"/>
    <mergeCell ref="C425:E425"/>
    <mergeCell ref="F425:H425"/>
    <mergeCell ref="I425:K425"/>
    <mergeCell ref="L425:N425"/>
    <mergeCell ref="B422:B423"/>
    <mergeCell ref="C422:N422"/>
    <mergeCell ref="O422:O423"/>
    <mergeCell ref="P422:P423"/>
    <mergeCell ref="Q422:Q423"/>
    <mergeCell ref="R422:R423"/>
    <mergeCell ref="W422:W423"/>
    <mergeCell ref="C423:E423"/>
    <mergeCell ref="F423:H423"/>
    <mergeCell ref="I423:K423"/>
    <mergeCell ref="L423:N423"/>
    <mergeCell ref="B420:B421"/>
    <mergeCell ref="C420:N420"/>
    <mergeCell ref="O420:O421"/>
    <mergeCell ref="P420:P421"/>
    <mergeCell ref="Q420:Q421"/>
    <mergeCell ref="R420:R421"/>
    <mergeCell ref="W420:W421"/>
    <mergeCell ref="C421:E421"/>
    <mergeCell ref="F421:H421"/>
    <mergeCell ref="I421:K421"/>
    <mergeCell ref="L421:N421"/>
    <mergeCell ref="B418:B419"/>
    <mergeCell ref="C418:N418"/>
    <mergeCell ref="O418:O419"/>
    <mergeCell ref="P418:P419"/>
    <mergeCell ref="Q418:Q419"/>
    <mergeCell ref="R418:R419"/>
    <mergeCell ref="W418:W419"/>
    <mergeCell ref="C419:E419"/>
    <mergeCell ref="F419:H419"/>
    <mergeCell ref="I419:K419"/>
    <mergeCell ref="L419:N419"/>
    <mergeCell ref="B416:B417"/>
    <mergeCell ref="C416:N416"/>
    <mergeCell ref="O416:O417"/>
    <mergeCell ref="P416:P417"/>
    <mergeCell ref="Q416:Q417"/>
    <mergeCell ref="R416:R417"/>
    <mergeCell ref="W416:W417"/>
    <mergeCell ref="C417:E417"/>
    <mergeCell ref="F417:H417"/>
    <mergeCell ref="I417:K417"/>
    <mergeCell ref="L417:N417"/>
    <mergeCell ref="B414:B415"/>
    <mergeCell ref="C414:N414"/>
    <mergeCell ref="O414:O415"/>
    <mergeCell ref="P414:P415"/>
    <mergeCell ref="Q414:Q415"/>
    <mergeCell ref="R414:R415"/>
    <mergeCell ref="W414:W415"/>
    <mergeCell ref="C415:E415"/>
    <mergeCell ref="F415:H415"/>
    <mergeCell ref="I415:K415"/>
    <mergeCell ref="L415:N415"/>
    <mergeCell ref="B412:B413"/>
    <mergeCell ref="C412:N412"/>
    <mergeCell ref="O412:O413"/>
    <mergeCell ref="P412:P413"/>
    <mergeCell ref="Q412:Q413"/>
    <mergeCell ref="R412:R413"/>
    <mergeCell ref="W412:W413"/>
    <mergeCell ref="C413:E413"/>
    <mergeCell ref="F413:H413"/>
    <mergeCell ref="I413:K413"/>
    <mergeCell ref="L413:N413"/>
    <mergeCell ref="B410:B411"/>
    <mergeCell ref="C410:N410"/>
    <mergeCell ref="O410:O411"/>
    <mergeCell ref="P410:P411"/>
    <mergeCell ref="Q410:Q411"/>
    <mergeCell ref="R410:R411"/>
    <mergeCell ref="W410:W411"/>
    <mergeCell ref="C411:E411"/>
    <mergeCell ref="F411:H411"/>
    <mergeCell ref="I411:K411"/>
    <mergeCell ref="L411:N411"/>
    <mergeCell ref="B408:B409"/>
    <mergeCell ref="C408:N408"/>
    <mergeCell ref="O408:O409"/>
    <mergeCell ref="P408:P409"/>
    <mergeCell ref="Q408:Q409"/>
    <mergeCell ref="R408:R409"/>
    <mergeCell ref="W408:W409"/>
    <mergeCell ref="C409:E409"/>
    <mergeCell ref="F409:H409"/>
    <mergeCell ref="I409:K409"/>
    <mergeCell ref="L409:N409"/>
    <mergeCell ref="B406:B407"/>
    <mergeCell ref="C406:N406"/>
    <mergeCell ref="O406:O407"/>
    <mergeCell ref="P406:P407"/>
    <mergeCell ref="Q406:Q407"/>
    <mergeCell ref="R406:R407"/>
    <mergeCell ref="W406:W407"/>
    <mergeCell ref="C407:E407"/>
    <mergeCell ref="F407:H407"/>
    <mergeCell ref="I407:K407"/>
    <mergeCell ref="L407:N407"/>
    <mergeCell ref="B404:B405"/>
    <mergeCell ref="C404:N404"/>
    <mergeCell ref="O404:O405"/>
    <mergeCell ref="P404:P405"/>
    <mergeCell ref="Q404:Q405"/>
    <mergeCell ref="R404:R405"/>
    <mergeCell ref="W404:W405"/>
    <mergeCell ref="C405:E405"/>
    <mergeCell ref="F405:H405"/>
    <mergeCell ref="I405:K405"/>
    <mergeCell ref="L405:N405"/>
    <mergeCell ref="B402:B403"/>
    <mergeCell ref="C402:N402"/>
    <mergeCell ref="O402:O403"/>
    <mergeCell ref="P402:P403"/>
    <mergeCell ref="Q402:Q403"/>
    <mergeCell ref="R402:R403"/>
    <mergeCell ref="W402:W403"/>
    <mergeCell ref="C403:E403"/>
    <mergeCell ref="F403:H403"/>
    <mergeCell ref="I403:K403"/>
    <mergeCell ref="L403:N403"/>
    <mergeCell ref="B400:B401"/>
    <mergeCell ref="C400:N400"/>
    <mergeCell ref="O400:O401"/>
    <mergeCell ref="P400:P401"/>
    <mergeCell ref="Q400:Q401"/>
    <mergeCell ref="R400:R401"/>
    <mergeCell ref="W400:W401"/>
    <mergeCell ref="C401:E401"/>
    <mergeCell ref="F401:H401"/>
    <mergeCell ref="I401:K401"/>
    <mergeCell ref="L401:N401"/>
    <mergeCell ref="B398:B399"/>
    <mergeCell ref="C398:N398"/>
    <mergeCell ref="O398:O399"/>
    <mergeCell ref="P398:P399"/>
    <mergeCell ref="Q398:Q399"/>
    <mergeCell ref="R398:R399"/>
    <mergeCell ref="W398:W399"/>
    <mergeCell ref="C399:E399"/>
    <mergeCell ref="F399:H399"/>
    <mergeCell ref="I399:K399"/>
    <mergeCell ref="L399:N399"/>
    <mergeCell ref="B396:B397"/>
    <mergeCell ref="C396:N396"/>
    <mergeCell ref="O396:O397"/>
    <mergeCell ref="P396:P397"/>
    <mergeCell ref="Q396:Q397"/>
    <mergeCell ref="R396:R397"/>
    <mergeCell ref="W396:W397"/>
    <mergeCell ref="C397:E397"/>
    <mergeCell ref="F397:H397"/>
    <mergeCell ref="I397:K397"/>
    <mergeCell ref="L397:N397"/>
    <mergeCell ref="B394:B395"/>
    <mergeCell ref="C394:N394"/>
    <mergeCell ref="O394:O395"/>
    <mergeCell ref="P394:P395"/>
    <mergeCell ref="Q394:Q395"/>
    <mergeCell ref="R394:R395"/>
    <mergeCell ref="W394:W395"/>
    <mergeCell ref="C395:E395"/>
    <mergeCell ref="F395:H395"/>
    <mergeCell ref="I395:K395"/>
    <mergeCell ref="L395:N395"/>
    <mergeCell ref="B392:B393"/>
    <mergeCell ref="C392:N392"/>
    <mergeCell ref="O392:O393"/>
    <mergeCell ref="P392:P393"/>
    <mergeCell ref="Q392:Q393"/>
    <mergeCell ref="R392:R393"/>
    <mergeCell ref="W392:W393"/>
    <mergeCell ref="C393:E393"/>
    <mergeCell ref="F393:H393"/>
    <mergeCell ref="I393:K393"/>
    <mergeCell ref="L393:N393"/>
    <mergeCell ref="B390:B391"/>
    <mergeCell ref="C390:N390"/>
    <mergeCell ref="O390:O391"/>
    <mergeCell ref="P390:P391"/>
    <mergeCell ref="Q390:Q391"/>
    <mergeCell ref="R390:R391"/>
    <mergeCell ref="W390:W391"/>
    <mergeCell ref="C391:E391"/>
    <mergeCell ref="F391:H391"/>
    <mergeCell ref="I391:K391"/>
    <mergeCell ref="L391:N391"/>
    <mergeCell ref="B388:B389"/>
    <mergeCell ref="C388:N388"/>
    <mergeCell ref="O388:O389"/>
    <mergeCell ref="P388:P389"/>
    <mergeCell ref="Q388:Q389"/>
    <mergeCell ref="R388:R389"/>
    <mergeCell ref="W388:W389"/>
    <mergeCell ref="C389:E389"/>
    <mergeCell ref="F389:H389"/>
    <mergeCell ref="I389:K389"/>
    <mergeCell ref="L389:N389"/>
    <mergeCell ref="B386:B387"/>
    <mergeCell ref="C386:N386"/>
    <mergeCell ref="O386:O387"/>
    <mergeCell ref="P386:P387"/>
    <mergeCell ref="Q386:Q387"/>
    <mergeCell ref="R386:R387"/>
    <mergeCell ref="W386:W387"/>
    <mergeCell ref="C387:E387"/>
    <mergeCell ref="F387:H387"/>
    <mergeCell ref="I387:K387"/>
    <mergeCell ref="L387:N387"/>
    <mergeCell ref="B384:B385"/>
    <mergeCell ref="C384:N384"/>
    <mergeCell ref="O384:O385"/>
    <mergeCell ref="P384:P385"/>
    <mergeCell ref="Q384:Q385"/>
    <mergeCell ref="R384:R385"/>
    <mergeCell ref="W384:W385"/>
    <mergeCell ref="C385:E385"/>
    <mergeCell ref="F385:H385"/>
    <mergeCell ref="I385:K385"/>
    <mergeCell ref="L385:N385"/>
    <mergeCell ref="B382:B383"/>
    <mergeCell ref="O382:O383"/>
    <mergeCell ref="P382:P383"/>
    <mergeCell ref="Q382:Q383"/>
    <mergeCell ref="R382:R383"/>
    <mergeCell ref="W382:W383"/>
    <mergeCell ref="C382:N383"/>
    <mergeCell ref="B380:B381"/>
    <mergeCell ref="C380:N380"/>
    <mergeCell ref="O380:O381"/>
    <mergeCell ref="P380:P381"/>
    <mergeCell ref="Q380:Q381"/>
    <mergeCell ref="R380:R381"/>
    <mergeCell ref="W380:W381"/>
    <mergeCell ref="C381:E381"/>
    <mergeCell ref="F381:H381"/>
    <mergeCell ref="I381:K381"/>
    <mergeCell ref="L381:N381"/>
    <mergeCell ref="B378:B379"/>
    <mergeCell ref="C378:N378"/>
    <mergeCell ref="O378:O379"/>
    <mergeCell ref="P378:P379"/>
    <mergeCell ref="Q378:Q379"/>
    <mergeCell ref="R378:R379"/>
    <mergeCell ref="W378:W379"/>
    <mergeCell ref="C379:E379"/>
    <mergeCell ref="F379:H379"/>
    <mergeCell ref="I379:K379"/>
    <mergeCell ref="L379:N379"/>
    <mergeCell ref="B376:B377"/>
    <mergeCell ref="C376:N376"/>
    <mergeCell ref="O376:O377"/>
    <mergeCell ref="P376:P377"/>
    <mergeCell ref="Q376:Q377"/>
    <mergeCell ref="R376:R377"/>
    <mergeCell ref="W376:W377"/>
    <mergeCell ref="C377:E377"/>
    <mergeCell ref="F377:H377"/>
    <mergeCell ref="I377:K377"/>
    <mergeCell ref="L377:N377"/>
    <mergeCell ref="B374:B375"/>
    <mergeCell ref="C374:N374"/>
    <mergeCell ref="O374:O375"/>
    <mergeCell ref="P374:P375"/>
    <mergeCell ref="Q374:Q375"/>
    <mergeCell ref="R374:R375"/>
    <mergeCell ref="W374:W375"/>
    <mergeCell ref="C375:E375"/>
    <mergeCell ref="F375:H375"/>
    <mergeCell ref="I375:K375"/>
    <mergeCell ref="L375:N375"/>
    <mergeCell ref="B372:B373"/>
    <mergeCell ref="C372:N372"/>
    <mergeCell ref="O372:O373"/>
    <mergeCell ref="P372:P373"/>
    <mergeCell ref="Q372:Q373"/>
    <mergeCell ref="R372:R373"/>
    <mergeCell ref="W372:W373"/>
    <mergeCell ref="C373:E373"/>
    <mergeCell ref="F373:H373"/>
    <mergeCell ref="I373:K373"/>
    <mergeCell ref="L373:N373"/>
    <mergeCell ref="B370:B371"/>
    <mergeCell ref="C370:N370"/>
    <mergeCell ref="O370:O371"/>
    <mergeCell ref="P370:P371"/>
    <mergeCell ref="Q370:Q371"/>
    <mergeCell ref="R370:R371"/>
    <mergeCell ref="W370:W371"/>
    <mergeCell ref="C371:E371"/>
    <mergeCell ref="F371:H371"/>
    <mergeCell ref="I371:K371"/>
    <mergeCell ref="L371:N371"/>
    <mergeCell ref="B368:B369"/>
    <mergeCell ref="C368:N368"/>
    <mergeCell ref="O368:O369"/>
    <mergeCell ref="P368:P369"/>
    <mergeCell ref="Q368:Q369"/>
    <mergeCell ref="R368:R369"/>
    <mergeCell ref="W368:W369"/>
    <mergeCell ref="C369:E369"/>
    <mergeCell ref="F369:H369"/>
    <mergeCell ref="I369:K369"/>
    <mergeCell ref="L369:N369"/>
    <mergeCell ref="B366:B367"/>
    <mergeCell ref="C366:N366"/>
    <mergeCell ref="O366:O367"/>
    <mergeCell ref="P366:P367"/>
    <mergeCell ref="Q366:Q367"/>
    <mergeCell ref="R366:R367"/>
    <mergeCell ref="W366:W367"/>
    <mergeCell ref="C367:E367"/>
    <mergeCell ref="F367:H367"/>
    <mergeCell ref="I367:K367"/>
    <mergeCell ref="L367:N367"/>
    <mergeCell ref="B364:B365"/>
    <mergeCell ref="C364:N364"/>
    <mergeCell ref="O364:O365"/>
    <mergeCell ref="P364:P365"/>
    <mergeCell ref="Q364:Q365"/>
    <mergeCell ref="R364:R365"/>
    <mergeCell ref="W364:W365"/>
    <mergeCell ref="C365:E365"/>
    <mergeCell ref="F365:H365"/>
    <mergeCell ref="I365:K365"/>
    <mergeCell ref="L365:N365"/>
    <mergeCell ref="B362:B363"/>
    <mergeCell ref="C362:N362"/>
    <mergeCell ref="O362:O363"/>
    <mergeCell ref="P362:P363"/>
    <mergeCell ref="Q362:Q363"/>
    <mergeCell ref="R362:R363"/>
    <mergeCell ref="W362:W363"/>
    <mergeCell ref="C363:E363"/>
    <mergeCell ref="F363:H363"/>
    <mergeCell ref="I363:K363"/>
    <mergeCell ref="L363:N363"/>
    <mergeCell ref="B360:B361"/>
    <mergeCell ref="C360:N360"/>
    <mergeCell ref="O360:O361"/>
    <mergeCell ref="P360:P361"/>
    <mergeCell ref="Q360:Q361"/>
    <mergeCell ref="R360:R361"/>
    <mergeCell ref="W360:W361"/>
    <mergeCell ref="C361:E361"/>
    <mergeCell ref="F361:H361"/>
    <mergeCell ref="I361:K361"/>
    <mergeCell ref="L361:N361"/>
    <mergeCell ref="B358:B359"/>
    <mergeCell ref="C358:N358"/>
    <mergeCell ref="O358:O359"/>
    <mergeCell ref="P358:P359"/>
    <mergeCell ref="Q358:Q359"/>
    <mergeCell ref="R358:R359"/>
    <mergeCell ref="W358:W359"/>
    <mergeCell ref="C359:E359"/>
    <mergeCell ref="F359:H359"/>
    <mergeCell ref="I359:K359"/>
    <mergeCell ref="L359:N359"/>
    <mergeCell ref="B356:B357"/>
    <mergeCell ref="C356:N356"/>
    <mergeCell ref="O356:O357"/>
    <mergeCell ref="P356:P357"/>
    <mergeCell ref="Q356:Q357"/>
    <mergeCell ref="R356:R357"/>
    <mergeCell ref="W356:W357"/>
    <mergeCell ref="C357:E357"/>
    <mergeCell ref="F357:H357"/>
    <mergeCell ref="I357:K357"/>
    <mergeCell ref="L357:N357"/>
    <mergeCell ref="B354:B355"/>
    <mergeCell ref="C354:N354"/>
    <mergeCell ref="O354:O355"/>
    <mergeCell ref="P354:P355"/>
    <mergeCell ref="Q354:Q355"/>
    <mergeCell ref="R354:R355"/>
    <mergeCell ref="W354:W355"/>
    <mergeCell ref="C355:E355"/>
    <mergeCell ref="F355:H355"/>
    <mergeCell ref="I355:K355"/>
    <mergeCell ref="L355:N355"/>
    <mergeCell ref="B352:B353"/>
    <mergeCell ref="C352:N352"/>
    <mergeCell ref="O352:O353"/>
    <mergeCell ref="P352:P353"/>
    <mergeCell ref="Q352:Q353"/>
    <mergeCell ref="R352:R353"/>
    <mergeCell ref="W352:W353"/>
    <mergeCell ref="C353:E353"/>
    <mergeCell ref="F353:H353"/>
    <mergeCell ref="I353:K353"/>
    <mergeCell ref="L353:N353"/>
    <mergeCell ref="B350:B351"/>
    <mergeCell ref="C350:N350"/>
    <mergeCell ref="O350:O351"/>
    <mergeCell ref="P350:P351"/>
    <mergeCell ref="Q350:Q351"/>
    <mergeCell ref="R350:R351"/>
    <mergeCell ref="W350:W351"/>
    <mergeCell ref="C351:E351"/>
    <mergeCell ref="F351:H351"/>
    <mergeCell ref="I351:K351"/>
    <mergeCell ref="L351:N351"/>
    <mergeCell ref="B348:B349"/>
    <mergeCell ref="C348:N348"/>
    <mergeCell ref="O348:O349"/>
    <mergeCell ref="P348:P349"/>
    <mergeCell ref="Q348:Q349"/>
    <mergeCell ref="R348:R349"/>
    <mergeCell ref="W348:W349"/>
    <mergeCell ref="C349:E349"/>
    <mergeCell ref="F349:H349"/>
    <mergeCell ref="I349:K349"/>
    <mergeCell ref="L349:N349"/>
    <mergeCell ref="B346:B347"/>
    <mergeCell ref="C346:N346"/>
    <mergeCell ref="O346:O347"/>
    <mergeCell ref="P346:P347"/>
    <mergeCell ref="Q346:Q347"/>
    <mergeCell ref="R346:R347"/>
    <mergeCell ref="W346:W347"/>
    <mergeCell ref="C347:E347"/>
    <mergeCell ref="F347:H347"/>
    <mergeCell ref="I347:K347"/>
    <mergeCell ref="L347:N347"/>
    <mergeCell ref="B344:B345"/>
    <mergeCell ref="C344:N344"/>
    <mergeCell ref="O344:O345"/>
    <mergeCell ref="P344:P345"/>
    <mergeCell ref="Q344:Q345"/>
    <mergeCell ref="R344:R345"/>
    <mergeCell ref="W344:W345"/>
    <mergeCell ref="C345:E345"/>
    <mergeCell ref="F345:H345"/>
    <mergeCell ref="I345:K345"/>
    <mergeCell ref="L345:N345"/>
    <mergeCell ref="B342:B343"/>
    <mergeCell ref="C342:N342"/>
    <mergeCell ref="O342:O343"/>
    <mergeCell ref="P342:P343"/>
    <mergeCell ref="Q342:Q343"/>
    <mergeCell ref="R342:R343"/>
    <mergeCell ref="W342:W343"/>
    <mergeCell ref="C343:E343"/>
    <mergeCell ref="F343:H343"/>
    <mergeCell ref="I343:K343"/>
    <mergeCell ref="L343:N343"/>
    <mergeCell ref="B340:B341"/>
    <mergeCell ref="C340:N340"/>
    <mergeCell ref="O340:O341"/>
    <mergeCell ref="P340:P341"/>
    <mergeCell ref="Q340:Q341"/>
    <mergeCell ref="R340:R341"/>
    <mergeCell ref="W340:W341"/>
    <mergeCell ref="C341:E341"/>
    <mergeCell ref="F341:H341"/>
    <mergeCell ref="I341:K341"/>
    <mergeCell ref="L341:N341"/>
    <mergeCell ref="B338:B339"/>
    <mergeCell ref="C338:N338"/>
    <mergeCell ref="O338:O339"/>
    <mergeCell ref="P338:P339"/>
    <mergeCell ref="Q338:Q339"/>
    <mergeCell ref="R338:R339"/>
    <mergeCell ref="W338:W339"/>
    <mergeCell ref="C339:E339"/>
    <mergeCell ref="F339:H339"/>
    <mergeCell ref="I339:K339"/>
    <mergeCell ref="L339:N339"/>
    <mergeCell ref="B336:B337"/>
    <mergeCell ref="C336:N336"/>
    <mergeCell ref="O336:O337"/>
    <mergeCell ref="P336:P337"/>
    <mergeCell ref="Q336:Q337"/>
    <mergeCell ref="R336:R337"/>
    <mergeCell ref="W336:W337"/>
    <mergeCell ref="C337:E337"/>
    <mergeCell ref="F337:H337"/>
    <mergeCell ref="I337:K337"/>
    <mergeCell ref="L337:N337"/>
    <mergeCell ref="B334:B335"/>
    <mergeCell ref="C334:N334"/>
    <mergeCell ref="O334:O335"/>
    <mergeCell ref="P334:P335"/>
    <mergeCell ref="Q334:Q335"/>
    <mergeCell ref="R334:R335"/>
    <mergeCell ref="W334:W335"/>
    <mergeCell ref="C335:E335"/>
    <mergeCell ref="F335:H335"/>
    <mergeCell ref="I335:K335"/>
    <mergeCell ref="L335:N335"/>
    <mergeCell ref="B332:B333"/>
    <mergeCell ref="C332:N332"/>
    <mergeCell ref="O332:O333"/>
    <mergeCell ref="P332:P333"/>
    <mergeCell ref="Q332:Q333"/>
    <mergeCell ref="R332:R333"/>
    <mergeCell ref="W332:W333"/>
    <mergeCell ref="C333:E333"/>
    <mergeCell ref="F333:H333"/>
    <mergeCell ref="I333:K333"/>
    <mergeCell ref="L333:N333"/>
    <mergeCell ref="B330:B331"/>
    <mergeCell ref="C330:N330"/>
    <mergeCell ref="O330:O331"/>
    <mergeCell ref="P330:P331"/>
    <mergeCell ref="Q330:Q331"/>
    <mergeCell ref="R330:R331"/>
    <mergeCell ref="W330:W331"/>
    <mergeCell ref="C331:E331"/>
    <mergeCell ref="F331:H331"/>
    <mergeCell ref="I331:K331"/>
    <mergeCell ref="L331:N331"/>
    <mergeCell ref="B328:B329"/>
    <mergeCell ref="C328:N328"/>
    <mergeCell ref="O328:O329"/>
    <mergeCell ref="P328:P329"/>
    <mergeCell ref="Q328:Q329"/>
    <mergeCell ref="R328:R329"/>
    <mergeCell ref="W328:W329"/>
    <mergeCell ref="C329:E329"/>
    <mergeCell ref="F329:H329"/>
    <mergeCell ref="I329:K329"/>
    <mergeCell ref="L329:N329"/>
    <mergeCell ref="B326:B327"/>
    <mergeCell ref="C326:N326"/>
    <mergeCell ref="O326:O327"/>
    <mergeCell ref="P326:P327"/>
    <mergeCell ref="Q326:Q327"/>
    <mergeCell ref="R326:R327"/>
    <mergeCell ref="W326:W327"/>
    <mergeCell ref="C327:E327"/>
    <mergeCell ref="F327:H327"/>
    <mergeCell ref="I327:K327"/>
    <mergeCell ref="L327:N327"/>
    <mergeCell ref="B324:B325"/>
    <mergeCell ref="C324:N324"/>
    <mergeCell ref="O324:O325"/>
    <mergeCell ref="P324:P325"/>
    <mergeCell ref="Q324:Q325"/>
    <mergeCell ref="R324:R325"/>
    <mergeCell ref="W324:W325"/>
    <mergeCell ref="C325:E325"/>
    <mergeCell ref="F325:H325"/>
    <mergeCell ref="I325:K325"/>
    <mergeCell ref="L325:N325"/>
    <mergeCell ref="B322:B323"/>
    <mergeCell ref="C322:N322"/>
    <mergeCell ref="O322:O323"/>
    <mergeCell ref="P322:P323"/>
    <mergeCell ref="Q322:Q323"/>
    <mergeCell ref="R322:R323"/>
    <mergeCell ref="W322:W323"/>
    <mergeCell ref="C323:E323"/>
    <mergeCell ref="F323:H323"/>
    <mergeCell ref="I323:K323"/>
    <mergeCell ref="L323:N323"/>
    <mergeCell ref="B320:B321"/>
    <mergeCell ref="C320:N320"/>
    <mergeCell ref="O320:O321"/>
    <mergeCell ref="P320:P321"/>
    <mergeCell ref="Q320:Q321"/>
    <mergeCell ref="R320:R321"/>
    <mergeCell ref="W320:W321"/>
    <mergeCell ref="C321:E321"/>
    <mergeCell ref="F321:H321"/>
    <mergeCell ref="I321:K321"/>
    <mergeCell ref="L321:N321"/>
    <mergeCell ref="B318:B319"/>
    <mergeCell ref="C318:N318"/>
    <mergeCell ref="O318:O319"/>
    <mergeCell ref="P318:P319"/>
    <mergeCell ref="Q318:Q319"/>
    <mergeCell ref="R318:R319"/>
    <mergeCell ref="W318:W319"/>
    <mergeCell ref="C319:E319"/>
    <mergeCell ref="F319:H319"/>
    <mergeCell ref="I319:K319"/>
    <mergeCell ref="L319:N319"/>
    <mergeCell ref="B316:B317"/>
    <mergeCell ref="C316:N316"/>
    <mergeCell ref="O316:O317"/>
    <mergeCell ref="P316:P317"/>
    <mergeCell ref="Q316:Q317"/>
    <mergeCell ref="R316:R317"/>
    <mergeCell ref="W316:W317"/>
    <mergeCell ref="C317:E317"/>
    <mergeCell ref="F317:H317"/>
    <mergeCell ref="I317:K317"/>
    <mergeCell ref="L317:N317"/>
    <mergeCell ref="B314:B315"/>
    <mergeCell ref="C314:N314"/>
    <mergeCell ref="O314:O315"/>
    <mergeCell ref="P314:P315"/>
    <mergeCell ref="Q314:Q315"/>
    <mergeCell ref="R314:R315"/>
    <mergeCell ref="W314:W315"/>
    <mergeCell ref="C315:E315"/>
    <mergeCell ref="F315:H315"/>
    <mergeCell ref="I315:K315"/>
    <mergeCell ref="L315:N315"/>
    <mergeCell ref="B312:B313"/>
    <mergeCell ref="C312:N312"/>
    <mergeCell ref="O312:O313"/>
    <mergeCell ref="P312:P313"/>
    <mergeCell ref="Q312:Q313"/>
    <mergeCell ref="R312:R313"/>
    <mergeCell ref="W312:W313"/>
    <mergeCell ref="C313:E313"/>
    <mergeCell ref="F313:H313"/>
    <mergeCell ref="I313:K313"/>
    <mergeCell ref="L313:N313"/>
    <mergeCell ref="B310:B311"/>
    <mergeCell ref="C310:N310"/>
    <mergeCell ref="O310:O311"/>
    <mergeCell ref="P310:P311"/>
    <mergeCell ref="Q310:Q311"/>
    <mergeCell ref="R310:R311"/>
    <mergeCell ref="W310:W311"/>
    <mergeCell ref="C311:E311"/>
    <mergeCell ref="F311:H311"/>
    <mergeCell ref="I311:K311"/>
    <mergeCell ref="L311:N311"/>
    <mergeCell ref="B308:B309"/>
    <mergeCell ref="C308:N308"/>
    <mergeCell ref="O308:O309"/>
    <mergeCell ref="P308:P309"/>
    <mergeCell ref="Q308:Q309"/>
    <mergeCell ref="R308:R309"/>
    <mergeCell ref="W308:W309"/>
    <mergeCell ref="C309:E309"/>
    <mergeCell ref="F309:H309"/>
    <mergeCell ref="I309:K309"/>
    <mergeCell ref="L309:N309"/>
    <mergeCell ref="B306:B307"/>
    <mergeCell ref="C306:N306"/>
    <mergeCell ref="O306:O307"/>
    <mergeCell ref="P306:P307"/>
    <mergeCell ref="Q306:Q307"/>
    <mergeCell ref="R306:R307"/>
    <mergeCell ref="W306:W307"/>
    <mergeCell ref="C307:E307"/>
    <mergeCell ref="F307:H307"/>
    <mergeCell ref="I307:K307"/>
    <mergeCell ref="L307:N307"/>
    <mergeCell ref="B304:B305"/>
    <mergeCell ref="C304:N304"/>
    <mergeCell ref="O304:O305"/>
    <mergeCell ref="P304:P305"/>
    <mergeCell ref="Q304:Q305"/>
    <mergeCell ref="R304:R305"/>
    <mergeCell ref="W304:W305"/>
    <mergeCell ref="C305:E305"/>
    <mergeCell ref="F305:H305"/>
    <mergeCell ref="I305:K305"/>
    <mergeCell ref="L305:N305"/>
    <mergeCell ref="B302:B303"/>
    <mergeCell ref="C302:N302"/>
    <mergeCell ref="O302:O303"/>
    <mergeCell ref="P302:P303"/>
    <mergeCell ref="Q302:Q303"/>
    <mergeCell ref="R302:R303"/>
    <mergeCell ref="W302:W303"/>
    <mergeCell ref="C303:E303"/>
    <mergeCell ref="F303:H303"/>
    <mergeCell ref="I303:K303"/>
    <mergeCell ref="L303:N303"/>
    <mergeCell ref="B300:B301"/>
    <mergeCell ref="C300:N300"/>
    <mergeCell ref="O300:O301"/>
    <mergeCell ref="P300:P301"/>
    <mergeCell ref="Q300:Q301"/>
    <mergeCell ref="R300:R301"/>
    <mergeCell ref="W300:W301"/>
    <mergeCell ref="C301:E301"/>
    <mergeCell ref="F301:H301"/>
    <mergeCell ref="I301:K301"/>
    <mergeCell ref="L301:N301"/>
    <mergeCell ref="B298:B299"/>
    <mergeCell ref="C298:N298"/>
    <mergeCell ref="O298:O299"/>
    <mergeCell ref="P298:P299"/>
    <mergeCell ref="Q298:Q299"/>
    <mergeCell ref="R298:R299"/>
    <mergeCell ref="W298:W299"/>
    <mergeCell ref="C299:E299"/>
    <mergeCell ref="F299:H299"/>
    <mergeCell ref="I299:K299"/>
    <mergeCell ref="L299:N299"/>
    <mergeCell ref="B296:B297"/>
    <mergeCell ref="C296:N296"/>
    <mergeCell ref="O296:O297"/>
    <mergeCell ref="P296:P297"/>
    <mergeCell ref="Q296:Q297"/>
    <mergeCell ref="R296:R297"/>
    <mergeCell ref="W296:W297"/>
    <mergeCell ref="C297:E297"/>
    <mergeCell ref="F297:H297"/>
    <mergeCell ref="I297:K297"/>
    <mergeCell ref="L297:N297"/>
    <mergeCell ref="B294:B295"/>
    <mergeCell ref="C294:N294"/>
    <mergeCell ref="O294:O295"/>
    <mergeCell ref="P294:P295"/>
    <mergeCell ref="Q294:Q295"/>
    <mergeCell ref="R294:R295"/>
    <mergeCell ref="W294:W295"/>
    <mergeCell ref="C295:E295"/>
    <mergeCell ref="F295:H295"/>
    <mergeCell ref="I295:K295"/>
    <mergeCell ref="L295:N295"/>
    <mergeCell ref="B292:B293"/>
    <mergeCell ref="C292:N292"/>
    <mergeCell ref="O292:O293"/>
    <mergeCell ref="P292:P293"/>
    <mergeCell ref="Q292:Q293"/>
    <mergeCell ref="R292:R293"/>
    <mergeCell ref="W292:W293"/>
    <mergeCell ref="C293:E293"/>
    <mergeCell ref="F293:H293"/>
    <mergeCell ref="I293:K293"/>
    <mergeCell ref="L293:N293"/>
    <mergeCell ref="B290:B291"/>
    <mergeCell ref="C290:N290"/>
    <mergeCell ref="O290:O291"/>
    <mergeCell ref="P290:P291"/>
    <mergeCell ref="Q290:Q291"/>
    <mergeCell ref="R290:R291"/>
    <mergeCell ref="W290:W291"/>
    <mergeCell ref="C291:E291"/>
    <mergeCell ref="F291:H291"/>
    <mergeCell ref="I291:K291"/>
    <mergeCell ref="L291:N291"/>
    <mergeCell ref="B288:B289"/>
    <mergeCell ref="C288:N288"/>
    <mergeCell ref="O288:O289"/>
    <mergeCell ref="P288:P289"/>
    <mergeCell ref="Q288:Q289"/>
    <mergeCell ref="R288:R289"/>
    <mergeCell ref="W288:W289"/>
    <mergeCell ref="C289:E289"/>
    <mergeCell ref="F289:H289"/>
    <mergeCell ref="I289:K289"/>
    <mergeCell ref="L289:N289"/>
    <mergeCell ref="B286:B287"/>
    <mergeCell ref="C286:N286"/>
    <mergeCell ref="O286:O287"/>
    <mergeCell ref="P286:P287"/>
    <mergeCell ref="Q286:Q287"/>
    <mergeCell ref="R286:R287"/>
    <mergeCell ref="W286:W287"/>
    <mergeCell ref="C287:E287"/>
    <mergeCell ref="F287:H287"/>
    <mergeCell ref="I287:K287"/>
    <mergeCell ref="L287:N287"/>
    <mergeCell ref="B284:B285"/>
    <mergeCell ref="C284:N284"/>
    <mergeCell ref="O284:O285"/>
    <mergeCell ref="P284:P285"/>
    <mergeCell ref="Q284:Q285"/>
    <mergeCell ref="R284:R285"/>
    <mergeCell ref="W284:W285"/>
    <mergeCell ref="C285:E285"/>
    <mergeCell ref="F285:H285"/>
    <mergeCell ref="I285:K285"/>
    <mergeCell ref="L285:N285"/>
    <mergeCell ref="B282:B283"/>
    <mergeCell ref="C282:N282"/>
    <mergeCell ref="O282:O283"/>
    <mergeCell ref="P282:P283"/>
    <mergeCell ref="Q282:Q283"/>
    <mergeCell ref="R282:R283"/>
    <mergeCell ref="W282:W283"/>
    <mergeCell ref="C283:E283"/>
    <mergeCell ref="F283:H283"/>
    <mergeCell ref="I283:K283"/>
    <mergeCell ref="L283:N283"/>
    <mergeCell ref="B280:B281"/>
    <mergeCell ref="C280:N280"/>
    <mergeCell ref="O280:O281"/>
    <mergeCell ref="P280:P281"/>
    <mergeCell ref="Q280:Q281"/>
    <mergeCell ref="R280:R281"/>
    <mergeCell ref="W280:W281"/>
    <mergeCell ref="C281:E281"/>
    <mergeCell ref="F281:H281"/>
    <mergeCell ref="I281:K281"/>
    <mergeCell ref="L281:N281"/>
    <mergeCell ref="B278:B279"/>
    <mergeCell ref="C278:N278"/>
    <mergeCell ref="O278:O279"/>
    <mergeCell ref="P278:P279"/>
    <mergeCell ref="Q278:Q279"/>
    <mergeCell ref="R278:R279"/>
    <mergeCell ref="W278:W279"/>
    <mergeCell ref="C279:E279"/>
    <mergeCell ref="F279:H279"/>
    <mergeCell ref="I279:K279"/>
    <mergeCell ref="L279:N279"/>
    <mergeCell ref="B276:B277"/>
    <mergeCell ref="C276:N276"/>
    <mergeCell ref="O276:O277"/>
    <mergeCell ref="P276:P277"/>
    <mergeCell ref="Q276:Q277"/>
    <mergeCell ref="R276:R277"/>
    <mergeCell ref="W276:W277"/>
    <mergeCell ref="C277:E277"/>
    <mergeCell ref="F277:H277"/>
    <mergeCell ref="I277:K277"/>
    <mergeCell ref="L277:N277"/>
    <mergeCell ref="B274:B275"/>
    <mergeCell ref="C274:N274"/>
    <mergeCell ref="O274:O275"/>
    <mergeCell ref="P274:P275"/>
    <mergeCell ref="Q274:Q275"/>
    <mergeCell ref="R274:R275"/>
    <mergeCell ref="W274:W275"/>
    <mergeCell ref="C275:E275"/>
    <mergeCell ref="F275:H275"/>
    <mergeCell ref="I275:K275"/>
    <mergeCell ref="L275:N275"/>
    <mergeCell ref="B272:B273"/>
    <mergeCell ref="C272:N272"/>
    <mergeCell ref="O272:O273"/>
    <mergeCell ref="P272:P273"/>
    <mergeCell ref="Q272:Q273"/>
    <mergeCell ref="R272:R273"/>
    <mergeCell ref="W272:W273"/>
    <mergeCell ref="C273:E273"/>
    <mergeCell ref="F273:H273"/>
    <mergeCell ref="I273:K273"/>
    <mergeCell ref="L273:N273"/>
    <mergeCell ref="B270:B271"/>
    <mergeCell ref="C270:N270"/>
    <mergeCell ref="O270:O271"/>
    <mergeCell ref="P270:P271"/>
    <mergeCell ref="Q270:Q271"/>
    <mergeCell ref="R270:R271"/>
    <mergeCell ref="W270:W271"/>
    <mergeCell ref="C271:E271"/>
    <mergeCell ref="F271:H271"/>
    <mergeCell ref="I271:K271"/>
    <mergeCell ref="L271:N271"/>
    <mergeCell ref="B268:B269"/>
    <mergeCell ref="C268:N268"/>
    <mergeCell ref="O268:O269"/>
    <mergeCell ref="P268:P269"/>
    <mergeCell ref="Q268:Q269"/>
    <mergeCell ref="R268:R269"/>
    <mergeCell ref="W268:W269"/>
    <mergeCell ref="C269:E269"/>
    <mergeCell ref="F269:H269"/>
    <mergeCell ref="I269:K269"/>
    <mergeCell ref="L269:N269"/>
    <mergeCell ref="B266:B267"/>
    <mergeCell ref="C266:N266"/>
    <mergeCell ref="O266:O267"/>
    <mergeCell ref="P266:P267"/>
    <mergeCell ref="Q266:Q267"/>
    <mergeCell ref="R266:R267"/>
    <mergeCell ref="W266:W267"/>
    <mergeCell ref="C267:E267"/>
    <mergeCell ref="F267:H267"/>
    <mergeCell ref="I267:K267"/>
    <mergeCell ref="L267:N267"/>
    <mergeCell ref="B264:B265"/>
    <mergeCell ref="C264:N264"/>
    <mergeCell ref="O264:O265"/>
    <mergeCell ref="P264:P265"/>
    <mergeCell ref="Q264:Q265"/>
    <mergeCell ref="R264:R265"/>
    <mergeCell ref="W264:W265"/>
    <mergeCell ref="C265:E265"/>
    <mergeCell ref="F265:H265"/>
    <mergeCell ref="I265:K265"/>
    <mergeCell ref="L265:N265"/>
    <mergeCell ref="B262:B263"/>
    <mergeCell ref="C262:N262"/>
    <mergeCell ref="O262:O263"/>
    <mergeCell ref="P262:P263"/>
    <mergeCell ref="Q262:Q263"/>
    <mergeCell ref="R262:R263"/>
    <mergeCell ref="W262:W263"/>
    <mergeCell ref="C263:E263"/>
    <mergeCell ref="F263:H263"/>
    <mergeCell ref="I263:K263"/>
    <mergeCell ref="L263:N263"/>
    <mergeCell ref="B260:B261"/>
    <mergeCell ref="C260:N260"/>
    <mergeCell ref="O260:O261"/>
    <mergeCell ref="P260:P261"/>
    <mergeCell ref="Q260:Q261"/>
    <mergeCell ref="R260:R261"/>
    <mergeCell ref="W260:W261"/>
    <mergeCell ref="C261:E261"/>
    <mergeCell ref="F261:H261"/>
    <mergeCell ref="I261:K261"/>
    <mergeCell ref="L261:N261"/>
    <mergeCell ref="B258:B259"/>
    <mergeCell ref="C258:N258"/>
    <mergeCell ref="O258:O259"/>
    <mergeCell ref="P258:P259"/>
    <mergeCell ref="Q258:Q259"/>
    <mergeCell ref="R258:R259"/>
    <mergeCell ref="W258:W259"/>
    <mergeCell ref="C259:E259"/>
    <mergeCell ref="F259:H259"/>
    <mergeCell ref="I259:K259"/>
    <mergeCell ref="L259:N259"/>
    <mergeCell ref="B256:B257"/>
    <mergeCell ref="C256:N256"/>
    <mergeCell ref="O256:O257"/>
    <mergeCell ref="P256:P257"/>
    <mergeCell ref="Q256:Q257"/>
    <mergeCell ref="R256:R257"/>
    <mergeCell ref="W256:W257"/>
    <mergeCell ref="C257:E257"/>
    <mergeCell ref="F257:H257"/>
    <mergeCell ref="I257:K257"/>
    <mergeCell ref="L257:N257"/>
    <mergeCell ref="B254:B255"/>
    <mergeCell ref="C254:N254"/>
    <mergeCell ref="O254:O255"/>
    <mergeCell ref="P254:P255"/>
    <mergeCell ref="Q254:Q255"/>
    <mergeCell ref="R254:R255"/>
    <mergeCell ref="W254:W255"/>
    <mergeCell ref="C255:E255"/>
    <mergeCell ref="F255:H255"/>
    <mergeCell ref="I255:K255"/>
    <mergeCell ref="L255:N255"/>
    <mergeCell ref="B252:B253"/>
    <mergeCell ref="C252:N252"/>
    <mergeCell ref="O252:O253"/>
    <mergeCell ref="P252:P253"/>
    <mergeCell ref="Q252:Q253"/>
    <mergeCell ref="R252:R253"/>
    <mergeCell ref="W252:W253"/>
    <mergeCell ref="C253:E253"/>
    <mergeCell ref="F253:H253"/>
    <mergeCell ref="I253:K253"/>
    <mergeCell ref="L253:N253"/>
    <mergeCell ref="B250:B251"/>
    <mergeCell ref="C250:N250"/>
    <mergeCell ref="O250:O251"/>
    <mergeCell ref="P250:P251"/>
    <mergeCell ref="Q250:Q251"/>
    <mergeCell ref="R250:R251"/>
    <mergeCell ref="W250:W251"/>
    <mergeCell ref="C251:E251"/>
    <mergeCell ref="F251:H251"/>
    <mergeCell ref="I251:K251"/>
    <mergeCell ref="L251:N251"/>
    <mergeCell ref="B248:B249"/>
    <mergeCell ref="C248:N248"/>
    <mergeCell ref="O248:O249"/>
    <mergeCell ref="P248:P249"/>
    <mergeCell ref="Q248:Q249"/>
    <mergeCell ref="R248:R249"/>
    <mergeCell ref="W248:W249"/>
    <mergeCell ref="C249:E249"/>
    <mergeCell ref="F249:H249"/>
    <mergeCell ref="I249:K249"/>
    <mergeCell ref="L249:N249"/>
    <mergeCell ref="B246:B247"/>
    <mergeCell ref="C246:N246"/>
    <mergeCell ref="O246:O247"/>
    <mergeCell ref="P246:P247"/>
    <mergeCell ref="Q246:Q247"/>
    <mergeCell ref="R246:R247"/>
    <mergeCell ref="W246:W247"/>
    <mergeCell ref="C247:E247"/>
    <mergeCell ref="F247:H247"/>
    <mergeCell ref="I247:K247"/>
    <mergeCell ref="L247:N247"/>
    <mergeCell ref="B244:B245"/>
    <mergeCell ref="C244:N244"/>
    <mergeCell ref="O244:O245"/>
    <mergeCell ref="P244:P245"/>
    <mergeCell ref="Q244:Q245"/>
    <mergeCell ref="R244:R245"/>
    <mergeCell ref="W244:W245"/>
    <mergeCell ref="C245:E245"/>
    <mergeCell ref="F245:H245"/>
    <mergeCell ref="I245:K245"/>
    <mergeCell ref="L245:N245"/>
    <mergeCell ref="B242:B243"/>
    <mergeCell ref="C242:N242"/>
    <mergeCell ref="O242:O243"/>
    <mergeCell ref="P242:P243"/>
    <mergeCell ref="Q242:Q243"/>
    <mergeCell ref="R242:R243"/>
    <mergeCell ref="W242:W243"/>
    <mergeCell ref="C243:E243"/>
    <mergeCell ref="F243:H243"/>
    <mergeCell ref="I243:K243"/>
    <mergeCell ref="L243:N243"/>
    <mergeCell ref="B240:B241"/>
    <mergeCell ref="C240:N240"/>
    <mergeCell ref="O240:O241"/>
    <mergeCell ref="P240:P241"/>
    <mergeCell ref="Q240:Q241"/>
    <mergeCell ref="R240:R241"/>
    <mergeCell ref="W240:W241"/>
    <mergeCell ref="C241:E241"/>
    <mergeCell ref="F241:H241"/>
    <mergeCell ref="I241:K241"/>
    <mergeCell ref="L241:N241"/>
    <mergeCell ref="B238:B239"/>
    <mergeCell ref="C238:N238"/>
    <mergeCell ref="O238:O239"/>
    <mergeCell ref="P238:P239"/>
    <mergeCell ref="Q238:Q239"/>
    <mergeCell ref="R238:R239"/>
    <mergeCell ref="W238:W239"/>
    <mergeCell ref="C239:E239"/>
    <mergeCell ref="F239:H239"/>
    <mergeCell ref="I239:K239"/>
    <mergeCell ref="L239:N239"/>
    <mergeCell ref="B236:B237"/>
    <mergeCell ref="C236:N236"/>
    <mergeCell ref="O236:O237"/>
    <mergeCell ref="P236:P237"/>
    <mergeCell ref="Q236:Q237"/>
    <mergeCell ref="R236:R237"/>
    <mergeCell ref="W236:W237"/>
    <mergeCell ref="C237:E237"/>
    <mergeCell ref="F237:H237"/>
    <mergeCell ref="I237:K237"/>
    <mergeCell ref="L237:N237"/>
    <mergeCell ref="B234:B235"/>
    <mergeCell ref="C234:N234"/>
    <mergeCell ref="O234:O235"/>
    <mergeCell ref="P234:P235"/>
    <mergeCell ref="Q234:Q235"/>
    <mergeCell ref="R234:R235"/>
    <mergeCell ref="W234:W235"/>
    <mergeCell ref="C235:E235"/>
    <mergeCell ref="F235:H235"/>
    <mergeCell ref="I235:K235"/>
    <mergeCell ref="L235:N235"/>
    <mergeCell ref="B232:B233"/>
    <mergeCell ref="C232:N232"/>
    <mergeCell ref="O232:O233"/>
    <mergeCell ref="P232:P233"/>
    <mergeCell ref="Q232:Q233"/>
    <mergeCell ref="R232:R233"/>
    <mergeCell ref="W232:W233"/>
    <mergeCell ref="C233:E233"/>
    <mergeCell ref="F233:H233"/>
    <mergeCell ref="I233:K233"/>
    <mergeCell ref="L233:N233"/>
    <mergeCell ref="B230:B231"/>
    <mergeCell ref="C230:N230"/>
    <mergeCell ref="O230:O231"/>
    <mergeCell ref="P230:P231"/>
    <mergeCell ref="Q230:Q231"/>
    <mergeCell ref="R230:R231"/>
    <mergeCell ref="W230:W231"/>
    <mergeCell ref="C231:E231"/>
    <mergeCell ref="F231:H231"/>
    <mergeCell ref="I231:K231"/>
    <mergeCell ref="L231:N231"/>
    <mergeCell ref="B228:B229"/>
    <mergeCell ref="C228:N228"/>
    <mergeCell ref="O228:O229"/>
    <mergeCell ref="P228:P229"/>
    <mergeCell ref="Q228:Q229"/>
    <mergeCell ref="R228:R229"/>
    <mergeCell ref="W228:W229"/>
    <mergeCell ref="C229:E229"/>
    <mergeCell ref="F229:H229"/>
    <mergeCell ref="I229:K229"/>
    <mergeCell ref="L229:N229"/>
    <mergeCell ref="B226:B227"/>
    <mergeCell ref="C226:N226"/>
    <mergeCell ref="O226:O227"/>
    <mergeCell ref="P226:P227"/>
    <mergeCell ref="Q226:Q227"/>
    <mergeCell ref="R226:R227"/>
    <mergeCell ref="W226:W227"/>
    <mergeCell ref="C227:E227"/>
    <mergeCell ref="F227:H227"/>
    <mergeCell ref="I227:K227"/>
    <mergeCell ref="L227:N227"/>
    <mergeCell ref="B224:B225"/>
    <mergeCell ref="C224:N224"/>
    <mergeCell ref="O224:O225"/>
    <mergeCell ref="P224:P225"/>
    <mergeCell ref="Q224:Q225"/>
    <mergeCell ref="R224:R225"/>
    <mergeCell ref="W224:W225"/>
    <mergeCell ref="C225:E225"/>
    <mergeCell ref="F225:H225"/>
    <mergeCell ref="I225:K225"/>
    <mergeCell ref="L225:N225"/>
    <mergeCell ref="B222:B223"/>
    <mergeCell ref="C222:N222"/>
    <mergeCell ref="O222:O223"/>
    <mergeCell ref="P222:P223"/>
    <mergeCell ref="Q222:Q223"/>
    <mergeCell ref="R222:R223"/>
    <mergeCell ref="W222:W223"/>
    <mergeCell ref="C223:E223"/>
    <mergeCell ref="F223:H223"/>
    <mergeCell ref="I223:K223"/>
    <mergeCell ref="L223:N223"/>
    <mergeCell ref="B220:B221"/>
    <mergeCell ref="C220:N220"/>
    <mergeCell ref="O220:O221"/>
    <mergeCell ref="P220:P221"/>
    <mergeCell ref="Q220:Q221"/>
    <mergeCell ref="R220:R221"/>
    <mergeCell ref="W220:W221"/>
    <mergeCell ref="C221:E221"/>
    <mergeCell ref="F221:H221"/>
    <mergeCell ref="I221:K221"/>
    <mergeCell ref="L221:N221"/>
    <mergeCell ref="B218:B219"/>
    <mergeCell ref="C218:N218"/>
    <mergeCell ref="O218:O219"/>
    <mergeCell ref="P218:P219"/>
    <mergeCell ref="Q218:Q219"/>
    <mergeCell ref="R218:R219"/>
    <mergeCell ref="W218:W219"/>
    <mergeCell ref="C219:E219"/>
    <mergeCell ref="F219:H219"/>
    <mergeCell ref="I219:K219"/>
    <mergeCell ref="L219:N219"/>
    <mergeCell ref="B216:B217"/>
    <mergeCell ref="C216:N216"/>
    <mergeCell ref="O216:O217"/>
    <mergeCell ref="P216:P217"/>
    <mergeCell ref="Q216:Q217"/>
    <mergeCell ref="R216:R217"/>
    <mergeCell ref="W216:W217"/>
    <mergeCell ref="C217:E217"/>
    <mergeCell ref="F217:H217"/>
    <mergeCell ref="I217:K217"/>
    <mergeCell ref="L217:N217"/>
    <mergeCell ref="B214:B215"/>
    <mergeCell ref="C214:N214"/>
    <mergeCell ref="O214:O215"/>
    <mergeCell ref="P214:P215"/>
    <mergeCell ref="Q214:Q215"/>
    <mergeCell ref="R214:R215"/>
    <mergeCell ref="W214:W215"/>
    <mergeCell ref="C215:E215"/>
    <mergeCell ref="F215:H215"/>
    <mergeCell ref="I215:K215"/>
    <mergeCell ref="L215:N215"/>
    <mergeCell ref="B212:B213"/>
    <mergeCell ref="C212:N212"/>
    <mergeCell ref="O212:O213"/>
    <mergeCell ref="P212:P213"/>
    <mergeCell ref="Q212:Q213"/>
    <mergeCell ref="R212:R213"/>
    <mergeCell ref="W212:W213"/>
    <mergeCell ref="C213:E213"/>
    <mergeCell ref="F213:H213"/>
    <mergeCell ref="I213:K213"/>
    <mergeCell ref="L213:N213"/>
    <mergeCell ref="B210:B211"/>
    <mergeCell ref="C210:N210"/>
    <mergeCell ref="O210:O211"/>
    <mergeCell ref="P210:P211"/>
    <mergeCell ref="Q210:Q211"/>
    <mergeCell ref="R210:R211"/>
    <mergeCell ref="W210:W211"/>
    <mergeCell ref="C211:E211"/>
    <mergeCell ref="F211:H211"/>
    <mergeCell ref="I211:K211"/>
    <mergeCell ref="L211:N211"/>
    <mergeCell ref="B208:B209"/>
    <mergeCell ref="C208:N208"/>
    <mergeCell ref="O208:O209"/>
    <mergeCell ref="P208:P209"/>
    <mergeCell ref="Q208:Q209"/>
    <mergeCell ref="R208:R209"/>
    <mergeCell ref="W208:W209"/>
    <mergeCell ref="C209:E209"/>
    <mergeCell ref="F209:H209"/>
    <mergeCell ref="I209:K209"/>
    <mergeCell ref="L209:N209"/>
    <mergeCell ref="B206:B207"/>
    <mergeCell ref="C206:N206"/>
    <mergeCell ref="O206:O207"/>
    <mergeCell ref="P206:P207"/>
    <mergeCell ref="Q206:Q207"/>
    <mergeCell ref="R206:R207"/>
    <mergeCell ref="W206:W207"/>
    <mergeCell ref="C207:E207"/>
    <mergeCell ref="F207:H207"/>
    <mergeCell ref="I207:K207"/>
    <mergeCell ref="L207:N207"/>
    <mergeCell ref="B204:B205"/>
    <mergeCell ref="C204:N204"/>
    <mergeCell ref="O204:O205"/>
    <mergeCell ref="P204:P205"/>
    <mergeCell ref="Q204:Q205"/>
    <mergeCell ref="R204:R205"/>
    <mergeCell ref="W204:W205"/>
    <mergeCell ref="C205:E205"/>
    <mergeCell ref="F205:H205"/>
    <mergeCell ref="I205:K205"/>
    <mergeCell ref="L205:N205"/>
    <mergeCell ref="B202:B203"/>
    <mergeCell ref="C202:N202"/>
    <mergeCell ref="O202:O203"/>
    <mergeCell ref="P202:P203"/>
    <mergeCell ref="Q202:Q203"/>
    <mergeCell ref="R202:R203"/>
    <mergeCell ref="W202:W203"/>
    <mergeCell ref="C203:E203"/>
    <mergeCell ref="F203:H203"/>
    <mergeCell ref="I203:K203"/>
    <mergeCell ref="L203:N203"/>
    <mergeCell ref="B200:B201"/>
    <mergeCell ref="C200:N200"/>
    <mergeCell ref="O200:O201"/>
    <mergeCell ref="P200:P201"/>
    <mergeCell ref="Q200:Q201"/>
    <mergeCell ref="R200:R201"/>
    <mergeCell ref="W200:W201"/>
    <mergeCell ref="C201:E201"/>
    <mergeCell ref="F201:H201"/>
    <mergeCell ref="I201:K201"/>
    <mergeCell ref="L201:N201"/>
    <mergeCell ref="B198:B199"/>
    <mergeCell ref="C198:N198"/>
    <mergeCell ref="O198:O199"/>
    <mergeCell ref="P198:P199"/>
    <mergeCell ref="Q198:Q199"/>
    <mergeCell ref="R198:R199"/>
    <mergeCell ref="W198:W199"/>
    <mergeCell ref="C199:E199"/>
    <mergeCell ref="F199:H199"/>
    <mergeCell ref="I199:K199"/>
    <mergeCell ref="L199:N199"/>
    <mergeCell ref="B196:B197"/>
    <mergeCell ref="C196:N196"/>
    <mergeCell ref="O196:O197"/>
    <mergeCell ref="P196:P197"/>
    <mergeCell ref="Q196:Q197"/>
    <mergeCell ref="R196:R197"/>
    <mergeCell ref="W196:W197"/>
    <mergeCell ref="C197:E197"/>
    <mergeCell ref="F197:H197"/>
    <mergeCell ref="I197:K197"/>
    <mergeCell ref="L197:N197"/>
    <mergeCell ref="B194:B195"/>
    <mergeCell ref="C194:N194"/>
    <mergeCell ref="O194:O195"/>
    <mergeCell ref="P194:P195"/>
    <mergeCell ref="Q194:Q195"/>
    <mergeCell ref="R194:R195"/>
    <mergeCell ref="W194:W195"/>
    <mergeCell ref="C195:E195"/>
    <mergeCell ref="F195:H195"/>
    <mergeCell ref="I195:K195"/>
    <mergeCell ref="L195:N195"/>
    <mergeCell ref="B192:B193"/>
    <mergeCell ref="C192:N192"/>
    <mergeCell ref="O192:O193"/>
    <mergeCell ref="P192:P193"/>
    <mergeCell ref="Q192:Q193"/>
    <mergeCell ref="R192:R193"/>
    <mergeCell ref="W192:W193"/>
    <mergeCell ref="C193:E193"/>
    <mergeCell ref="F193:H193"/>
    <mergeCell ref="I193:K193"/>
    <mergeCell ref="L193:N193"/>
    <mergeCell ref="B190:B191"/>
    <mergeCell ref="C190:N190"/>
    <mergeCell ref="O190:O191"/>
    <mergeCell ref="P190:P191"/>
    <mergeCell ref="Q190:Q191"/>
    <mergeCell ref="R190:R191"/>
    <mergeCell ref="W190:W191"/>
    <mergeCell ref="C191:E191"/>
    <mergeCell ref="F191:H191"/>
    <mergeCell ref="I191:K191"/>
    <mergeCell ref="L191:N191"/>
    <mergeCell ref="B188:B189"/>
    <mergeCell ref="C188:N188"/>
    <mergeCell ref="O188:O189"/>
    <mergeCell ref="P188:P189"/>
    <mergeCell ref="Q188:Q189"/>
    <mergeCell ref="R188:R189"/>
    <mergeCell ref="W188:W189"/>
    <mergeCell ref="C189:E189"/>
    <mergeCell ref="F189:H189"/>
    <mergeCell ref="I189:K189"/>
    <mergeCell ref="L189:N189"/>
    <mergeCell ref="B186:B187"/>
    <mergeCell ref="C186:N186"/>
    <mergeCell ref="O186:O187"/>
    <mergeCell ref="P186:P187"/>
    <mergeCell ref="Q186:Q187"/>
    <mergeCell ref="R186:R187"/>
    <mergeCell ref="W186:W187"/>
    <mergeCell ref="C187:E187"/>
    <mergeCell ref="F187:H187"/>
    <mergeCell ref="I187:K187"/>
    <mergeCell ref="L187:N187"/>
    <mergeCell ref="B184:B185"/>
    <mergeCell ref="C184:N184"/>
    <mergeCell ref="O184:O185"/>
    <mergeCell ref="P184:P185"/>
    <mergeCell ref="Q184:Q185"/>
    <mergeCell ref="R184:R185"/>
    <mergeCell ref="W184:W185"/>
    <mergeCell ref="C185:E185"/>
    <mergeCell ref="F185:H185"/>
    <mergeCell ref="I185:K185"/>
    <mergeCell ref="L185:N185"/>
    <mergeCell ref="B182:B183"/>
    <mergeCell ref="C182:N182"/>
    <mergeCell ref="O182:O183"/>
    <mergeCell ref="P182:P183"/>
    <mergeCell ref="Q182:Q183"/>
    <mergeCell ref="R182:R183"/>
    <mergeCell ref="W182:W183"/>
    <mergeCell ref="C183:E183"/>
    <mergeCell ref="F183:H183"/>
    <mergeCell ref="I183:K183"/>
    <mergeCell ref="L183:N183"/>
    <mergeCell ref="B180:B181"/>
    <mergeCell ref="C180:N180"/>
    <mergeCell ref="O180:O181"/>
    <mergeCell ref="P180:P181"/>
    <mergeCell ref="Q180:Q181"/>
    <mergeCell ref="R180:R181"/>
    <mergeCell ref="W180:W181"/>
    <mergeCell ref="C181:E181"/>
    <mergeCell ref="F181:H181"/>
    <mergeCell ref="I181:K181"/>
    <mergeCell ref="L181:N181"/>
    <mergeCell ref="B178:B179"/>
    <mergeCell ref="C178:N178"/>
    <mergeCell ref="O178:O179"/>
    <mergeCell ref="P178:P179"/>
    <mergeCell ref="Q178:Q179"/>
    <mergeCell ref="R178:R179"/>
    <mergeCell ref="W178:W179"/>
    <mergeCell ref="C179:E179"/>
    <mergeCell ref="F179:H179"/>
    <mergeCell ref="I179:K179"/>
    <mergeCell ref="L179:N179"/>
    <mergeCell ref="B176:B177"/>
    <mergeCell ref="C176:N176"/>
    <mergeCell ref="O176:O177"/>
    <mergeCell ref="P176:P177"/>
    <mergeCell ref="Q176:Q177"/>
    <mergeCell ref="R176:R177"/>
    <mergeCell ref="W176:W177"/>
    <mergeCell ref="C177:E177"/>
    <mergeCell ref="F177:H177"/>
    <mergeCell ref="I177:K177"/>
    <mergeCell ref="L177:N177"/>
    <mergeCell ref="B174:B175"/>
    <mergeCell ref="C174:N174"/>
    <mergeCell ref="O174:O175"/>
    <mergeCell ref="P174:P175"/>
    <mergeCell ref="Q174:Q175"/>
    <mergeCell ref="R174:R175"/>
    <mergeCell ref="W174:W175"/>
    <mergeCell ref="C175:E175"/>
    <mergeCell ref="F175:H175"/>
    <mergeCell ref="I175:K175"/>
    <mergeCell ref="L175:N175"/>
    <mergeCell ref="B172:B173"/>
    <mergeCell ref="C172:N172"/>
    <mergeCell ref="O172:O173"/>
    <mergeCell ref="P172:P173"/>
    <mergeCell ref="Q172:Q173"/>
    <mergeCell ref="R172:R173"/>
    <mergeCell ref="W172:W173"/>
    <mergeCell ref="C173:E173"/>
    <mergeCell ref="F173:H173"/>
    <mergeCell ref="I173:K173"/>
    <mergeCell ref="L173:N173"/>
    <mergeCell ref="B170:B171"/>
    <mergeCell ref="C170:N170"/>
    <mergeCell ref="O170:O171"/>
    <mergeCell ref="P170:P171"/>
    <mergeCell ref="Q170:Q171"/>
    <mergeCell ref="R170:R171"/>
    <mergeCell ref="W170:W171"/>
    <mergeCell ref="C171:E171"/>
    <mergeCell ref="F171:H171"/>
    <mergeCell ref="I171:K171"/>
    <mergeCell ref="L171:N171"/>
    <mergeCell ref="B168:B169"/>
    <mergeCell ref="C168:N168"/>
    <mergeCell ref="O168:O169"/>
    <mergeCell ref="P168:P169"/>
    <mergeCell ref="Q168:Q169"/>
    <mergeCell ref="R168:R169"/>
    <mergeCell ref="W168:W169"/>
    <mergeCell ref="C169:E169"/>
    <mergeCell ref="F169:H169"/>
    <mergeCell ref="I169:K169"/>
    <mergeCell ref="L169:N169"/>
    <mergeCell ref="B166:B167"/>
    <mergeCell ref="C166:N166"/>
    <mergeCell ref="O166:O167"/>
    <mergeCell ref="P166:P167"/>
    <mergeCell ref="Q166:Q167"/>
    <mergeCell ref="R166:R167"/>
    <mergeCell ref="W166:W167"/>
    <mergeCell ref="C167:E167"/>
    <mergeCell ref="F167:H167"/>
    <mergeCell ref="I167:K167"/>
    <mergeCell ref="L167:N167"/>
    <mergeCell ref="B164:B165"/>
    <mergeCell ref="C164:N164"/>
    <mergeCell ref="O164:O165"/>
    <mergeCell ref="P164:P165"/>
    <mergeCell ref="Q164:Q165"/>
    <mergeCell ref="R164:R165"/>
    <mergeCell ref="W164:W165"/>
    <mergeCell ref="C165:E165"/>
    <mergeCell ref="F165:H165"/>
    <mergeCell ref="I165:K165"/>
    <mergeCell ref="L165:N165"/>
    <mergeCell ref="B162:B163"/>
    <mergeCell ref="C162:N162"/>
    <mergeCell ref="O162:O163"/>
    <mergeCell ref="P162:P163"/>
    <mergeCell ref="Q162:Q163"/>
    <mergeCell ref="R162:R163"/>
    <mergeCell ref="W162:W163"/>
    <mergeCell ref="C163:E163"/>
    <mergeCell ref="F163:H163"/>
    <mergeCell ref="I163:K163"/>
    <mergeCell ref="L163:N163"/>
    <mergeCell ref="B160:B161"/>
    <mergeCell ref="C160:N160"/>
    <mergeCell ref="O160:O161"/>
    <mergeCell ref="P160:P161"/>
    <mergeCell ref="Q160:Q161"/>
    <mergeCell ref="R160:R161"/>
    <mergeCell ref="W160:W161"/>
    <mergeCell ref="C161:E161"/>
    <mergeCell ref="F161:H161"/>
    <mergeCell ref="I161:K161"/>
    <mergeCell ref="L161:N161"/>
    <mergeCell ref="B158:B159"/>
    <mergeCell ref="C158:N158"/>
    <mergeCell ref="O158:O159"/>
    <mergeCell ref="P158:P159"/>
    <mergeCell ref="Q158:Q159"/>
    <mergeCell ref="R158:R159"/>
    <mergeCell ref="W158:W159"/>
    <mergeCell ref="C159:E159"/>
    <mergeCell ref="F159:H159"/>
    <mergeCell ref="I159:K159"/>
    <mergeCell ref="L159:N159"/>
    <mergeCell ref="B156:B157"/>
    <mergeCell ref="C156:N156"/>
    <mergeCell ref="O156:O157"/>
    <mergeCell ref="P156:P157"/>
    <mergeCell ref="Q156:Q157"/>
    <mergeCell ref="R156:R157"/>
    <mergeCell ref="W156:W157"/>
    <mergeCell ref="C157:E157"/>
    <mergeCell ref="F157:H157"/>
    <mergeCell ref="I157:K157"/>
    <mergeCell ref="L157:N157"/>
    <mergeCell ref="B154:B155"/>
    <mergeCell ref="C154:N154"/>
    <mergeCell ref="O154:O155"/>
    <mergeCell ref="P154:P155"/>
    <mergeCell ref="Q154:Q155"/>
    <mergeCell ref="R154:R155"/>
    <mergeCell ref="W154:W155"/>
    <mergeCell ref="C155:E155"/>
    <mergeCell ref="F155:H155"/>
    <mergeCell ref="I155:K155"/>
    <mergeCell ref="L155:N155"/>
    <mergeCell ref="B152:B153"/>
    <mergeCell ref="C152:N152"/>
    <mergeCell ref="O152:O153"/>
    <mergeCell ref="P152:P153"/>
    <mergeCell ref="Q152:Q153"/>
    <mergeCell ref="R152:R153"/>
    <mergeCell ref="W152:W153"/>
    <mergeCell ref="C153:E153"/>
    <mergeCell ref="F153:H153"/>
    <mergeCell ref="I153:K153"/>
    <mergeCell ref="L153:N153"/>
    <mergeCell ref="B150:B151"/>
    <mergeCell ref="O150:O151"/>
    <mergeCell ref="P150:P151"/>
    <mergeCell ref="Q150:Q151"/>
    <mergeCell ref="R150:R151"/>
    <mergeCell ref="W150:W151"/>
    <mergeCell ref="C150:N151"/>
    <mergeCell ref="B148:B149"/>
    <mergeCell ref="C148:N148"/>
    <mergeCell ref="O148:O149"/>
    <mergeCell ref="P148:P149"/>
    <mergeCell ref="Q148:Q149"/>
    <mergeCell ref="R148:R149"/>
    <mergeCell ref="W148:W149"/>
    <mergeCell ref="C149:E149"/>
    <mergeCell ref="F149:H149"/>
    <mergeCell ref="I149:K149"/>
    <mergeCell ref="L149:N149"/>
    <mergeCell ref="B146:B147"/>
    <mergeCell ref="C146:N146"/>
    <mergeCell ref="O146:O147"/>
    <mergeCell ref="P146:P147"/>
    <mergeCell ref="Q146:Q147"/>
    <mergeCell ref="R146:R147"/>
    <mergeCell ref="W146:W147"/>
    <mergeCell ref="C147:E147"/>
    <mergeCell ref="F147:H147"/>
    <mergeCell ref="I147:K147"/>
    <mergeCell ref="L147:N147"/>
    <mergeCell ref="B144:B145"/>
    <mergeCell ref="C144:N144"/>
    <mergeCell ref="O144:O145"/>
    <mergeCell ref="P144:P145"/>
    <mergeCell ref="Q144:Q145"/>
    <mergeCell ref="R144:R145"/>
    <mergeCell ref="W144:W145"/>
    <mergeCell ref="C145:E145"/>
    <mergeCell ref="F145:H145"/>
    <mergeCell ref="I145:K145"/>
    <mergeCell ref="L145:N145"/>
    <mergeCell ref="B142:B143"/>
    <mergeCell ref="C142:N142"/>
    <mergeCell ref="O142:O143"/>
    <mergeCell ref="P142:P143"/>
    <mergeCell ref="Q142:Q143"/>
    <mergeCell ref="R142:R143"/>
    <mergeCell ref="W142:W143"/>
    <mergeCell ref="C143:E143"/>
    <mergeCell ref="F143:H143"/>
    <mergeCell ref="I143:K143"/>
    <mergeCell ref="L143:N143"/>
    <mergeCell ref="B140:B141"/>
    <mergeCell ref="C140:N140"/>
    <mergeCell ref="O140:O141"/>
    <mergeCell ref="P140:P141"/>
    <mergeCell ref="Q140:Q141"/>
    <mergeCell ref="R140:R141"/>
    <mergeCell ref="W140:W141"/>
    <mergeCell ref="C141:E141"/>
    <mergeCell ref="F141:H141"/>
    <mergeCell ref="I141:K141"/>
    <mergeCell ref="L141:N141"/>
    <mergeCell ref="B138:B139"/>
    <mergeCell ref="C138:N138"/>
    <mergeCell ref="O138:O139"/>
    <mergeCell ref="P138:P139"/>
    <mergeCell ref="Q138:Q139"/>
    <mergeCell ref="R138:R139"/>
    <mergeCell ref="W138:W139"/>
    <mergeCell ref="C139:E139"/>
    <mergeCell ref="F139:H139"/>
    <mergeCell ref="I139:K139"/>
    <mergeCell ref="L139:N139"/>
    <mergeCell ref="B136:B137"/>
    <mergeCell ref="C136:N136"/>
    <mergeCell ref="O136:O137"/>
    <mergeCell ref="P136:P137"/>
    <mergeCell ref="Q136:Q137"/>
    <mergeCell ref="R136:R137"/>
    <mergeCell ref="W136:W137"/>
    <mergeCell ref="C137:E137"/>
    <mergeCell ref="F137:H137"/>
    <mergeCell ref="I137:K137"/>
    <mergeCell ref="L137:N137"/>
    <mergeCell ref="B134:B135"/>
    <mergeCell ref="C134:N134"/>
    <mergeCell ref="O134:O135"/>
    <mergeCell ref="P134:P135"/>
    <mergeCell ref="Q134:Q135"/>
    <mergeCell ref="R134:R135"/>
    <mergeCell ref="W134:W135"/>
    <mergeCell ref="C135:E135"/>
    <mergeCell ref="F135:H135"/>
    <mergeCell ref="I135:K135"/>
    <mergeCell ref="L135:N135"/>
    <mergeCell ref="B132:B133"/>
    <mergeCell ref="C132:N132"/>
    <mergeCell ref="O132:O133"/>
    <mergeCell ref="P132:P133"/>
    <mergeCell ref="Q132:Q133"/>
    <mergeCell ref="R132:R133"/>
    <mergeCell ref="W132:W133"/>
    <mergeCell ref="C133:E133"/>
    <mergeCell ref="F133:H133"/>
    <mergeCell ref="I133:K133"/>
    <mergeCell ref="L133:N133"/>
    <mergeCell ref="B130:B131"/>
    <mergeCell ref="O130:O131"/>
    <mergeCell ref="P130:P131"/>
    <mergeCell ref="Q130:Q131"/>
    <mergeCell ref="R130:R131"/>
    <mergeCell ref="W130:W131"/>
    <mergeCell ref="C130:N131"/>
    <mergeCell ref="B128:B129"/>
    <mergeCell ref="C128:N128"/>
    <mergeCell ref="O128:O129"/>
    <mergeCell ref="P128:P129"/>
    <mergeCell ref="Q128:Q129"/>
    <mergeCell ref="R128:R129"/>
    <mergeCell ref="W128:W129"/>
    <mergeCell ref="C129:E129"/>
    <mergeCell ref="F129:H129"/>
    <mergeCell ref="I129:K129"/>
    <mergeCell ref="L129:N129"/>
    <mergeCell ref="P124:P125"/>
    <mergeCell ref="Q124:Q125"/>
    <mergeCell ref="R124:R125"/>
    <mergeCell ref="W124:W125"/>
    <mergeCell ref="C125:E125"/>
    <mergeCell ref="F125:H125"/>
    <mergeCell ref="I125:K125"/>
    <mergeCell ref="L125:N125"/>
    <mergeCell ref="B126:B127"/>
    <mergeCell ref="C126:N126"/>
    <mergeCell ref="O126:O127"/>
    <mergeCell ref="P126:P127"/>
    <mergeCell ref="Q126:Q127"/>
    <mergeCell ref="R126:R127"/>
    <mergeCell ref="W126:W127"/>
    <mergeCell ref="C127:E127"/>
    <mergeCell ref="F127:H127"/>
    <mergeCell ref="I127:K127"/>
    <mergeCell ref="L127:N127"/>
    <mergeCell ref="B124:B125"/>
    <mergeCell ref="C124:N124"/>
    <mergeCell ref="O124:O125"/>
    <mergeCell ref="W112:W113"/>
    <mergeCell ref="W114:W115"/>
    <mergeCell ref="W116:W117"/>
    <mergeCell ref="W118:W119"/>
    <mergeCell ref="W120:W121"/>
    <mergeCell ref="W122:W123"/>
    <mergeCell ref="W100:W101"/>
    <mergeCell ref="W102:W103"/>
    <mergeCell ref="W104:W105"/>
    <mergeCell ref="W106:W107"/>
    <mergeCell ref="W108:W109"/>
    <mergeCell ref="W110:W111"/>
    <mergeCell ref="W88:W89"/>
    <mergeCell ref="W90:W91"/>
    <mergeCell ref="W92:W93"/>
    <mergeCell ref="W94:W95"/>
    <mergeCell ref="W96:W97"/>
    <mergeCell ref="W98:W99"/>
    <mergeCell ref="W76:W77"/>
    <mergeCell ref="W78:W79"/>
    <mergeCell ref="W80:W81"/>
    <mergeCell ref="W82:W83"/>
    <mergeCell ref="W84:W85"/>
    <mergeCell ref="W86:W87"/>
    <mergeCell ref="W64:W65"/>
    <mergeCell ref="W66:W67"/>
    <mergeCell ref="W68:W69"/>
    <mergeCell ref="W70:W71"/>
    <mergeCell ref="W72:W73"/>
    <mergeCell ref="W74:W75"/>
    <mergeCell ref="W52:W53"/>
    <mergeCell ref="W54:W55"/>
    <mergeCell ref="W56:W57"/>
    <mergeCell ref="W58:W59"/>
    <mergeCell ref="W60:W61"/>
    <mergeCell ref="W62:W63"/>
    <mergeCell ref="W40:W41"/>
    <mergeCell ref="W42:W43"/>
    <mergeCell ref="W44:W45"/>
    <mergeCell ref="W46:W47"/>
    <mergeCell ref="W48:W49"/>
    <mergeCell ref="W50:W51"/>
    <mergeCell ref="W28:W29"/>
    <mergeCell ref="W30:W31"/>
    <mergeCell ref="W32:W33"/>
    <mergeCell ref="W34:W35"/>
    <mergeCell ref="W36:W37"/>
    <mergeCell ref="W38:W39"/>
    <mergeCell ref="W16:W17"/>
    <mergeCell ref="W18:W19"/>
    <mergeCell ref="W20:W21"/>
    <mergeCell ref="W22:W23"/>
    <mergeCell ref="W24:W25"/>
    <mergeCell ref="W26:W27"/>
    <mergeCell ref="W4:W5"/>
    <mergeCell ref="W6:W7"/>
    <mergeCell ref="W8:W9"/>
    <mergeCell ref="W10:W11"/>
    <mergeCell ref="W12:W13"/>
    <mergeCell ref="W14:W15"/>
    <mergeCell ref="B120:B121"/>
    <mergeCell ref="C120:N120"/>
    <mergeCell ref="O120:O121"/>
    <mergeCell ref="P120:P121"/>
    <mergeCell ref="Q120:Q121"/>
    <mergeCell ref="R122:R123"/>
    <mergeCell ref="C123:E123"/>
    <mergeCell ref="F123:H123"/>
    <mergeCell ref="I123:K123"/>
    <mergeCell ref="L123:N123"/>
    <mergeCell ref="R120:R121"/>
    <mergeCell ref="C121:E121"/>
    <mergeCell ref="F121:H121"/>
    <mergeCell ref="I121:K121"/>
    <mergeCell ref="L121:N121"/>
    <mergeCell ref="B122:B123"/>
    <mergeCell ref="C122:N122"/>
    <mergeCell ref="O122:O123"/>
    <mergeCell ref="P122:P123"/>
    <mergeCell ref="Q122:Q123"/>
    <mergeCell ref="B118:B119"/>
    <mergeCell ref="C118:N118"/>
    <mergeCell ref="O118:O119"/>
    <mergeCell ref="P118:P119"/>
    <mergeCell ref="Q118:Q119"/>
    <mergeCell ref="R118:R119"/>
    <mergeCell ref="C119:E119"/>
    <mergeCell ref="F119:H119"/>
    <mergeCell ref="I119:K119"/>
    <mergeCell ref="L119:N119"/>
    <mergeCell ref="B116:B117"/>
    <mergeCell ref="C116:N116"/>
    <mergeCell ref="O116:O117"/>
    <mergeCell ref="P116:P117"/>
    <mergeCell ref="Q116:Q117"/>
    <mergeCell ref="R116:R117"/>
    <mergeCell ref="C117:E117"/>
    <mergeCell ref="F117:H117"/>
    <mergeCell ref="I117:K117"/>
    <mergeCell ref="L117:N117"/>
    <mergeCell ref="B114:B115"/>
    <mergeCell ref="C114:N114"/>
    <mergeCell ref="O114:O115"/>
    <mergeCell ref="P114:P115"/>
    <mergeCell ref="Q114:Q115"/>
    <mergeCell ref="R114:R115"/>
    <mergeCell ref="C115:E115"/>
    <mergeCell ref="F115:H115"/>
    <mergeCell ref="I115:K115"/>
    <mergeCell ref="L115:N115"/>
    <mergeCell ref="B112:B113"/>
    <mergeCell ref="C112:N112"/>
    <mergeCell ref="O112:O113"/>
    <mergeCell ref="P112:P113"/>
    <mergeCell ref="Q112:Q113"/>
    <mergeCell ref="R112:R113"/>
    <mergeCell ref="C113:E113"/>
    <mergeCell ref="F113:H113"/>
    <mergeCell ref="I113:K113"/>
    <mergeCell ref="L113:N113"/>
    <mergeCell ref="B110:B111"/>
    <mergeCell ref="C110:N110"/>
    <mergeCell ref="O110:O111"/>
    <mergeCell ref="P110:P111"/>
    <mergeCell ref="Q110:Q111"/>
    <mergeCell ref="R110:R111"/>
    <mergeCell ref="C111:E111"/>
    <mergeCell ref="F111:H111"/>
    <mergeCell ref="I111:K111"/>
    <mergeCell ref="L111:N111"/>
    <mergeCell ref="B108:B109"/>
    <mergeCell ref="C108:N108"/>
    <mergeCell ref="O108:O109"/>
    <mergeCell ref="P108:P109"/>
    <mergeCell ref="Q108:Q109"/>
    <mergeCell ref="R108:R109"/>
    <mergeCell ref="C109:E109"/>
    <mergeCell ref="F109:H109"/>
    <mergeCell ref="I109:K109"/>
    <mergeCell ref="L109:N109"/>
    <mergeCell ref="B106:B107"/>
    <mergeCell ref="C106:N106"/>
    <mergeCell ref="O106:O107"/>
    <mergeCell ref="P106:P107"/>
    <mergeCell ref="Q106:Q107"/>
    <mergeCell ref="R106:R107"/>
    <mergeCell ref="C107:E107"/>
    <mergeCell ref="F107:H107"/>
    <mergeCell ref="I107:K107"/>
    <mergeCell ref="L107:N107"/>
    <mergeCell ref="R102:R103"/>
    <mergeCell ref="C103:E103"/>
    <mergeCell ref="F103:H103"/>
    <mergeCell ref="I103:K103"/>
    <mergeCell ref="L103:N103"/>
    <mergeCell ref="B104:B105"/>
    <mergeCell ref="C104:N104"/>
    <mergeCell ref="O104:O105"/>
    <mergeCell ref="P104:P105"/>
    <mergeCell ref="Q104:Q105"/>
    <mergeCell ref="R104:R105"/>
    <mergeCell ref="C105:E105"/>
    <mergeCell ref="F105:H105"/>
    <mergeCell ref="I105:K105"/>
    <mergeCell ref="L105:N105"/>
    <mergeCell ref="B102:B103"/>
    <mergeCell ref="C102:N102"/>
    <mergeCell ref="O102:O103"/>
    <mergeCell ref="P102:P103"/>
    <mergeCell ref="Q102:Q103"/>
    <mergeCell ref="R98:R99"/>
    <mergeCell ref="B100:B101"/>
    <mergeCell ref="C100:N100"/>
    <mergeCell ref="O100:O101"/>
    <mergeCell ref="P100:P101"/>
    <mergeCell ref="Q100:Q101"/>
    <mergeCell ref="R100:R101"/>
    <mergeCell ref="C101:E101"/>
    <mergeCell ref="F101:H101"/>
    <mergeCell ref="I101:K101"/>
    <mergeCell ref="B98:B99"/>
    <mergeCell ref="C98:N98"/>
    <mergeCell ref="O98:O99"/>
    <mergeCell ref="P98:P99"/>
    <mergeCell ref="Q98:Q99"/>
    <mergeCell ref="L101:N101"/>
    <mergeCell ref="C99:E99"/>
    <mergeCell ref="F99:H99"/>
    <mergeCell ref="I99:K99"/>
    <mergeCell ref="L99:N99"/>
    <mergeCell ref="B96:B97"/>
    <mergeCell ref="C96:N96"/>
    <mergeCell ref="O96:O97"/>
    <mergeCell ref="P96:P97"/>
    <mergeCell ref="Q96:Q97"/>
    <mergeCell ref="R96:R97"/>
    <mergeCell ref="C97:E97"/>
    <mergeCell ref="F97:H97"/>
    <mergeCell ref="I97:K97"/>
    <mergeCell ref="L97:N97"/>
    <mergeCell ref="B94:B95"/>
    <mergeCell ref="C94:N94"/>
    <mergeCell ref="O94:O95"/>
    <mergeCell ref="P94:P95"/>
    <mergeCell ref="Q94:Q95"/>
    <mergeCell ref="R94:R95"/>
    <mergeCell ref="C95:E95"/>
    <mergeCell ref="F95:H95"/>
    <mergeCell ref="I95:K95"/>
    <mergeCell ref="L95:N95"/>
    <mergeCell ref="B92:B93"/>
    <mergeCell ref="C92:N92"/>
    <mergeCell ref="O92:O93"/>
    <mergeCell ref="P92:P93"/>
    <mergeCell ref="Q92:Q93"/>
    <mergeCell ref="R92:R93"/>
    <mergeCell ref="C93:E93"/>
    <mergeCell ref="F93:H93"/>
    <mergeCell ref="I93:K93"/>
    <mergeCell ref="L93:N93"/>
    <mergeCell ref="B90:B91"/>
    <mergeCell ref="C90:N90"/>
    <mergeCell ref="O90:O91"/>
    <mergeCell ref="P90:P91"/>
    <mergeCell ref="Q90:Q91"/>
    <mergeCell ref="R90:R91"/>
    <mergeCell ref="C91:E91"/>
    <mergeCell ref="F91:H91"/>
    <mergeCell ref="I91:K91"/>
    <mergeCell ref="L91:N91"/>
    <mergeCell ref="B88:B89"/>
    <mergeCell ref="C88:N88"/>
    <mergeCell ref="O88:O89"/>
    <mergeCell ref="P88:P89"/>
    <mergeCell ref="Q88:Q89"/>
    <mergeCell ref="R88:R89"/>
    <mergeCell ref="C89:E89"/>
    <mergeCell ref="F89:H89"/>
    <mergeCell ref="I89:K89"/>
    <mergeCell ref="L89:N89"/>
    <mergeCell ref="B86:B87"/>
    <mergeCell ref="C86:N86"/>
    <mergeCell ref="O86:O87"/>
    <mergeCell ref="P86:P87"/>
    <mergeCell ref="Q86:Q87"/>
    <mergeCell ref="R86:R87"/>
    <mergeCell ref="C87:E87"/>
    <mergeCell ref="F87:H87"/>
    <mergeCell ref="I87:K87"/>
    <mergeCell ref="L87:N87"/>
    <mergeCell ref="B84:B85"/>
    <mergeCell ref="C84:N84"/>
    <mergeCell ref="O84:O85"/>
    <mergeCell ref="P84:P85"/>
    <mergeCell ref="Q84:Q85"/>
    <mergeCell ref="R84:R85"/>
    <mergeCell ref="C85:E85"/>
    <mergeCell ref="F85:H85"/>
    <mergeCell ref="I85:K85"/>
    <mergeCell ref="L85:N85"/>
    <mergeCell ref="B82:B83"/>
    <mergeCell ref="C82:N82"/>
    <mergeCell ref="O82:O83"/>
    <mergeCell ref="P82:P83"/>
    <mergeCell ref="Q82:Q83"/>
    <mergeCell ref="R82:R83"/>
    <mergeCell ref="C83:E83"/>
    <mergeCell ref="F83:H83"/>
    <mergeCell ref="I83:K83"/>
    <mergeCell ref="L83:N83"/>
    <mergeCell ref="B80:B81"/>
    <mergeCell ref="C80:N80"/>
    <mergeCell ref="O80:O81"/>
    <mergeCell ref="P80:P81"/>
    <mergeCell ref="Q80:Q81"/>
    <mergeCell ref="R80:R81"/>
    <mergeCell ref="C81:E81"/>
    <mergeCell ref="F81:H81"/>
    <mergeCell ref="I81:K81"/>
    <mergeCell ref="L81:N81"/>
    <mergeCell ref="B78:B79"/>
    <mergeCell ref="C78:N78"/>
    <mergeCell ref="O78:O79"/>
    <mergeCell ref="P78:P79"/>
    <mergeCell ref="Q78:Q79"/>
    <mergeCell ref="R78:R79"/>
    <mergeCell ref="C79:E79"/>
    <mergeCell ref="F79:H79"/>
    <mergeCell ref="I79:K79"/>
    <mergeCell ref="L79:N79"/>
    <mergeCell ref="B76:B77"/>
    <mergeCell ref="C76:N76"/>
    <mergeCell ref="O76:O77"/>
    <mergeCell ref="P76:P77"/>
    <mergeCell ref="Q76:Q77"/>
    <mergeCell ref="R76:R77"/>
    <mergeCell ref="C77:E77"/>
    <mergeCell ref="F77:H77"/>
    <mergeCell ref="I77:K77"/>
    <mergeCell ref="L77:N77"/>
    <mergeCell ref="B74:B75"/>
    <mergeCell ref="C74:N74"/>
    <mergeCell ref="O74:O75"/>
    <mergeCell ref="P74:P75"/>
    <mergeCell ref="Q74:Q75"/>
    <mergeCell ref="R74:R75"/>
    <mergeCell ref="C75:E75"/>
    <mergeCell ref="F75:H75"/>
    <mergeCell ref="I75:K75"/>
    <mergeCell ref="L75:N75"/>
    <mergeCell ref="B72:B73"/>
    <mergeCell ref="C72:N72"/>
    <mergeCell ref="O72:O73"/>
    <mergeCell ref="P72:P73"/>
    <mergeCell ref="Q72:Q73"/>
    <mergeCell ref="R72:R73"/>
    <mergeCell ref="C73:E73"/>
    <mergeCell ref="F73:H73"/>
    <mergeCell ref="I73:K73"/>
    <mergeCell ref="L73:N73"/>
    <mergeCell ref="B70:B71"/>
    <mergeCell ref="C70:N70"/>
    <mergeCell ref="O70:O71"/>
    <mergeCell ref="P70:P71"/>
    <mergeCell ref="Q70:Q71"/>
    <mergeCell ref="R70:R71"/>
    <mergeCell ref="C71:E71"/>
    <mergeCell ref="F71:H71"/>
    <mergeCell ref="I71:K71"/>
    <mergeCell ref="L71:N71"/>
    <mergeCell ref="B68:B69"/>
    <mergeCell ref="C68:N68"/>
    <mergeCell ref="O68:O69"/>
    <mergeCell ref="P68:P69"/>
    <mergeCell ref="Q68:Q69"/>
    <mergeCell ref="R68:R69"/>
    <mergeCell ref="C69:E69"/>
    <mergeCell ref="F69:H69"/>
    <mergeCell ref="I69:K69"/>
    <mergeCell ref="L69:N69"/>
    <mergeCell ref="B66:B67"/>
    <mergeCell ref="C66:N66"/>
    <mergeCell ref="O66:O67"/>
    <mergeCell ref="P66:P67"/>
    <mergeCell ref="Q66:Q67"/>
    <mergeCell ref="R66:R67"/>
    <mergeCell ref="C67:E67"/>
    <mergeCell ref="F67:H67"/>
    <mergeCell ref="I67:K67"/>
    <mergeCell ref="L67:N67"/>
    <mergeCell ref="B64:B65"/>
    <mergeCell ref="C64:N64"/>
    <mergeCell ref="O64:O65"/>
    <mergeCell ref="P64:P65"/>
    <mergeCell ref="Q64:Q65"/>
    <mergeCell ref="R64:R65"/>
    <mergeCell ref="C65:E65"/>
    <mergeCell ref="F65:H65"/>
    <mergeCell ref="I65:K65"/>
    <mergeCell ref="L65:N65"/>
    <mergeCell ref="B62:B63"/>
    <mergeCell ref="C62:N62"/>
    <mergeCell ref="O62:O63"/>
    <mergeCell ref="P62:P63"/>
    <mergeCell ref="Q62:Q63"/>
    <mergeCell ref="R62:R63"/>
    <mergeCell ref="C63:E63"/>
    <mergeCell ref="F63:H63"/>
    <mergeCell ref="I63:K63"/>
    <mergeCell ref="L63:N63"/>
    <mergeCell ref="B60:B61"/>
    <mergeCell ref="C60:N60"/>
    <mergeCell ref="O60:O61"/>
    <mergeCell ref="P60:P61"/>
    <mergeCell ref="Q60:Q61"/>
    <mergeCell ref="R60:R61"/>
    <mergeCell ref="C61:E61"/>
    <mergeCell ref="F61:H61"/>
    <mergeCell ref="I61:K61"/>
    <mergeCell ref="L61:N61"/>
    <mergeCell ref="B58:B59"/>
    <mergeCell ref="C58:N58"/>
    <mergeCell ref="O58:O59"/>
    <mergeCell ref="P58:P59"/>
    <mergeCell ref="Q58:Q59"/>
    <mergeCell ref="R58:R59"/>
    <mergeCell ref="C59:E59"/>
    <mergeCell ref="F59:H59"/>
    <mergeCell ref="I59:K59"/>
    <mergeCell ref="L59:N59"/>
    <mergeCell ref="B56:B57"/>
    <mergeCell ref="C56:N56"/>
    <mergeCell ref="O56:O57"/>
    <mergeCell ref="P56:P57"/>
    <mergeCell ref="Q56:Q57"/>
    <mergeCell ref="R56:R57"/>
    <mergeCell ref="C57:E57"/>
    <mergeCell ref="F57:H57"/>
    <mergeCell ref="I57:K57"/>
    <mergeCell ref="L57:N57"/>
    <mergeCell ref="B54:B55"/>
    <mergeCell ref="C54:N54"/>
    <mergeCell ref="O54:O55"/>
    <mergeCell ref="P54:P55"/>
    <mergeCell ref="Q54:Q55"/>
    <mergeCell ref="R54:R55"/>
    <mergeCell ref="C55:E55"/>
    <mergeCell ref="F55:H55"/>
    <mergeCell ref="I55:K55"/>
    <mergeCell ref="L55:N55"/>
    <mergeCell ref="B52:B53"/>
    <mergeCell ref="C52:N52"/>
    <mergeCell ref="O52:O53"/>
    <mergeCell ref="P52:P53"/>
    <mergeCell ref="Q52:Q53"/>
    <mergeCell ref="R52:R53"/>
    <mergeCell ref="C53:E53"/>
    <mergeCell ref="F53:H53"/>
    <mergeCell ref="I53:K53"/>
    <mergeCell ref="L53:N53"/>
    <mergeCell ref="B50:B51"/>
    <mergeCell ref="C50:N50"/>
    <mergeCell ref="O50:O51"/>
    <mergeCell ref="P50:P51"/>
    <mergeCell ref="Q50:Q51"/>
    <mergeCell ref="R50:R51"/>
    <mergeCell ref="C51:E51"/>
    <mergeCell ref="F51:H51"/>
    <mergeCell ref="I51:K51"/>
    <mergeCell ref="L51:N51"/>
    <mergeCell ref="B48:B49"/>
    <mergeCell ref="C48:N48"/>
    <mergeCell ref="O48:O49"/>
    <mergeCell ref="P48:P49"/>
    <mergeCell ref="Q48:Q49"/>
    <mergeCell ref="R48:R49"/>
    <mergeCell ref="C49:E49"/>
    <mergeCell ref="F49:H49"/>
    <mergeCell ref="I49:K49"/>
    <mergeCell ref="L49:N49"/>
    <mergeCell ref="B46:B47"/>
    <mergeCell ref="C46:N46"/>
    <mergeCell ref="O46:O47"/>
    <mergeCell ref="P46:P47"/>
    <mergeCell ref="Q46:Q47"/>
    <mergeCell ref="R46:R47"/>
    <mergeCell ref="C47:E47"/>
    <mergeCell ref="F47:H47"/>
    <mergeCell ref="I47:K47"/>
    <mergeCell ref="L47:N47"/>
    <mergeCell ref="B44:B45"/>
    <mergeCell ref="C44:N44"/>
    <mergeCell ref="O44:O45"/>
    <mergeCell ref="P44:P45"/>
    <mergeCell ref="Q44:Q45"/>
    <mergeCell ref="R44:R45"/>
    <mergeCell ref="C45:E45"/>
    <mergeCell ref="F45:H45"/>
    <mergeCell ref="I45:K45"/>
    <mergeCell ref="L45:N45"/>
    <mergeCell ref="B42:B43"/>
    <mergeCell ref="C42:N42"/>
    <mergeCell ref="O42:O43"/>
    <mergeCell ref="P42:P43"/>
    <mergeCell ref="Q42:Q43"/>
    <mergeCell ref="R42:R43"/>
    <mergeCell ref="C43:E43"/>
    <mergeCell ref="F43:H43"/>
    <mergeCell ref="I43:K43"/>
    <mergeCell ref="L43:N43"/>
    <mergeCell ref="B40:B41"/>
    <mergeCell ref="C40:N40"/>
    <mergeCell ref="O40:O41"/>
    <mergeCell ref="P40:P41"/>
    <mergeCell ref="Q40:Q41"/>
    <mergeCell ref="R40:R41"/>
    <mergeCell ref="C41:E41"/>
    <mergeCell ref="F41:H41"/>
    <mergeCell ref="I41:K41"/>
    <mergeCell ref="L41:N41"/>
    <mergeCell ref="B38:B39"/>
    <mergeCell ref="C38:N38"/>
    <mergeCell ref="O38:O39"/>
    <mergeCell ref="P38:P39"/>
    <mergeCell ref="Q38:Q39"/>
    <mergeCell ref="R38:R39"/>
    <mergeCell ref="C39:E39"/>
    <mergeCell ref="F39:H39"/>
    <mergeCell ref="I39:K39"/>
    <mergeCell ref="L39:N39"/>
    <mergeCell ref="B36:B37"/>
    <mergeCell ref="C36:N36"/>
    <mergeCell ref="O36:O37"/>
    <mergeCell ref="P36:P37"/>
    <mergeCell ref="Q36:Q37"/>
    <mergeCell ref="R36:R37"/>
    <mergeCell ref="C37:E37"/>
    <mergeCell ref="F37:H37"/>
    <mergeCell ref="I37:K37"/>
    <mergeCell ref="L37:N37"/>
    <mergeCell ref="B34:B35"/>
    <mergeCell ref="C34:N34"/>
    <mergeCell ref="O34:O35"/>
    <mergeCell ref="P34:P35"/>
    <mergeCell ref="Q34:Q35"/>
    <mergeCell ref="R34:R35"/>
    <mergeCell ref="C35:E35"/>
    <mergeCell ref="F35:H35"/>
    <mergeCell ref="I35:K35"/>
    <mergeCell ref="L35:N35"/>
    <mergeCell ref="B32:B33"/>
    <mergeCell ref="C32:N32"/>
    <mergeCell ref="O32:O33"/>
    <mergeCell ref="P32:P33"/>
    <mergeCell ref="Q32:Q33"/>
    <mergeCell ref="R32:R33"/>
    <mergeCell ref="C33:E33"/>
    <mergeCell ref="F33:H33"/>
    <mergeCell ref="I33:K33"/>
    <mergeCell ref="L33:N33"/>
    <mergeCell ref="B30:B31"/>
    <mergeCell ref="C30:N30"/>
    <mergeCell ref="O30:O31"/>
    <mergeCell ref="P30:P31"/>
    <mergeCell ref="Q30:Q31"/>
    <mergeCell ref="R30:R31"/>
    <mergeCell ref="C31:E31"/>
    <mergeCell ref="F31:H31"/>
    <mergeCell ref="I31:K31"/>
    <mergeCell ref="L31:N31"/>
    <mergeCell ref="B28:B29"/>
    <mergeCell ref="C28:N28"/>
    <mergeCell ref="O28:O29"/>
    <mergeCell ref="P28:P29"/>
    <mergeCell ref="Q28:Q29"/>
    <mergeCell ref="R28:R29"/>
    <mergeCell ref="C29:E29"/>
    <mergeCell ref="F29:H29"/>
    <mergeCell ref="I29:K29"/>
    <mergeCell ref="L29:N29"/>
    <mergeCell ref="B26:B27"/>
    <mergeCell ref="C26:N26"/>
    <mergeCell ref="O26:O27"/>
    <mergeCell ref="P26:P27"/>
    <mergeCell ref="Q26:Q27"/>
    <mergeCell ref="R26:R27"/>
    <mergeCell ref="C27:E27"/>
    <mergeCell ref="F27:H27"/>
    <mergeCell ref="I27:K27"/>
    <mergeCell ref="L27:N27"/>
    <mergeCell ref="B24:B25"/>
    <mergeCell ref="C24:N24"/>
    <mergeCell ref="O24:O25"/>
    <mergeCell ref="P24:P25"/>
    <mergeCell ref="Q24:Q25"/>
    <mergeCell ref="R24:R25"/>
    <mergeCell ref="C25:E25"/>
    <mergeCell ref="F25:H25"/>
    <mergeCell ref="I25:K25"/>
    <mergeCell ref="L25:N25"/>
    <mergeCell ref="B22:B23"/>
    <mergeCell ref="C22:N22"/>
    <mergeCell ref="O22:O23"/>
    <mergeCell ref="P22:P23"/>
    <mergeCell ref="Q22:Q23"/>
    <mergeCell ref="R22:R23"/>
    <mergeCell ref="C23:E23"/>
    <mergeCell ref="F23:H23"/>
    <mergeCell ref="I23:K23"/>
    <mergeCell ref="L23:N23"/>
    <mergeCell ref="B20:B21"/>
    <mergeCell ref="C20:N20"/>
    <mergeCell ref="O20:O21"/>
    <mergeCell ref="P20:P21"/>
    <mergeCell ref="Q20:Q21"/>
    <mergeCell ref="R20:R21"/>
    <mergeCell ref="C21:E21"/>
    <mergeCell ref="F21:H21"/>
    <mergeCell ref="I21:K21"/>
    <mergeCell ref="L21:N21"/>
    <mergeCell ref="B18:B19"/>
    <mergeCell ref="C18:N18"/>
    <mergeCell ref="O18:O19"/>
    <mergeCell ref="P18:P19"/>
    <mergeCell ref="Q18:Q19"/>
    <mergeCell ref="R18:R19"/>
    <mergeCell ref="C19:E19"/>
    <mergeCell ref="F19:H19"/>
    <mergeCell ref="I19:K19"/>
    <mergeCell ref="L19:N19"/>
    <mergeCell ref="B16:B17"/>
    <mergeCell ref="C16:N16"/>
    <mergeCell ref="O16:O17"/>
    <mergeCell ref="P16:P17"/>
    <mergeCell ref="Q16:Q17"/>
    <mergeCell ref="R16:R17"/>
    <mergeCell ref="C17:E17"/>
    <mergeCell ref="F17:H17"/>
    <mergeCell ref="I17:K17"/>
    <mergeCell ref="L17:N17"/>
    <mergeCell ref="B14:B15"/>
    <mergeCell ref="C14:N14"/>
    <mergeCell ref="O14:O15"/>
    <mergeCell ref="P14:P15"/>
    <mergeCell ref="Q14:Q15"/>
    <mergeCell ref="R14:R15"/>
    <mergeCell ref="C15:E15"/>
    <mergeCell ref="F15:H15"/>
    <mergeCell ref="I15:K15"/>
    <mergeCell ref="L15:N15"/>
    <mergeCell ref="B12:B13"/>
    <mergeCell ref="C12:N12"/>
    <mergeCell ref="O12:O13"/>
    <mergeCell ref="P12:P13"/>
    <mergeCell ref="Q12:Q13"/>
    <mergeCell ref="R12:R13"/>
    <mergeCell ref="C13:E13"/>
    <mergeCell ref="F13:H13"/>
    <mergeCell ref="I13:K13"/>
    <mergeCell ref="L13:N13"/>
    <mergeCell ref="B10:B11"/>
    <mergeCell ref="C10:N10"/>
    <mergeCell ref="O10:O11"/>
    <mergeCell ref="P10:P11"/>
    <mergeCell ref="Q10:Q11"/>
    <mergeCell ref="R10:R11"/>
    <mergeCell ref="C11:E11"/>
    <mergeCell ref="F11:H11"/>
    <mergeCell ref="I11:K11"/>
    <mergeCell ref="L11:N11"/>
    <mergeCell ref="C3:N3"/>
    <mergeCell ref="B4:B5"/>
    <mergeCell ref="C4:N4"/>
    <mergeCell ref="O4:O5"/>
    <mergeCell ref="P4:P5"/>
    <mergeCell ref="Q4:Q5"/>
    <mergeCell ref="R4:R5"/>
    <mergeCell ref="C5:E5"/>
    <mergeCell ref="F5:H5"/>
    <mergeCell ref="I5:K5"/>
    <mergeCell ref="L5:N5"/>
    <mergeCell ref="B8:B9"/>
    <mergeCell ref="C8:N8"/>
    <mergeCell ref="O8:O9"/>
    <mergeCell ref="P8:P9"/>
    <mergeCell ref="Q8:Q9"/>
    <mergeCell ref="R8:R9"/>
    <mergeCell ref="C9:E9"/>
    <mergeCell ref="F9:H9"/>
    <mergeCell ref="I9:K9"/>
    <mergeCell ref="L9:N9"/>
    <mergeCell ref="B6:B7"/>
    <mergeCell ref="C6:N6"/>
    <mergeCell ref="O6:O7"/>
    <mergeCell ref="P6:P7"/>
    <mergeCell ref="Q6:Q7"/>
    <mergeCell ref="R6:R7"/>
    <mergeCell ref="C7:E7"/>
    <mergeCell ref="F7:H7"/>
    <mergeCell ref="I7:K7"/>
    <mergeCell ref="L7:N7"/>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Lin</dc:creator>
  <cp:lastModifiedBy>lin</cp:lastModifiedBy>
  <dcterms:created xsi:type="dcterms:W3CDTF">2015-06-05T18:17:20Z</dcterms:created>
  <dcterms:modified xsi:type="dcterms:W3CDTF">2019-12-16T03:03:46Z</dcterms:modified>
</cp:coreProperties>
</file>